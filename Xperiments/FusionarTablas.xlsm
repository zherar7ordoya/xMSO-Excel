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ThisWorkbook"/>
  <bookViews>
    <workbookView xWindow="0" yWindow="0" windowWidth="20490" windowHeight="7680" activeTab="3"/>
  </bookViews>
  <sheets>
    <sheet name="Chequeras" sheetId="1" r:id="rId1"/>
    <sheet name="Depositos" sheetId="2" r:id="rId2"/>
    <sheet name="Gastos" sheetId="3" r:id="rId3"/>
    <sheet name="Aglutinador" sheetId="4" r:id="rId4"/>
  </sheets>
  <calcPr calcId="145621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5" i="3" l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6" i="2"/>
  <c r="I15" i="4" l="1"/>
  <c r="H15" i="4"/>
  <c r="G15" i="4"/>
  <c r="E15" i="4"/>
  <c r="D15" i="4"/>
  <c r="C15" i="4"/>
  <c r="B15" i="4"/>
  <c r="I14" i="4"/>
  <c r="H14" i="4"/>
  <c r="G14" i="4"/>
  <c r="E14" i="4"/>
  <c r="D14" i="4"/>
  <c r="C14" i="4"/>
  <c r="B14" i="4"/>
  <c r="I13" i="4"/>
  <c r="H13" i="4"/>
  <c r="G13" i="4"/>
  <c r="E13" i="4"/>
  <c r="D13" i="4"/>
  <c r="C13" i="4"/>
  <c r="B13" i="4"/>
  <c r="I12" i="4"/>
  <c r="H12" i="4"/>
  <c r="G12" i="4"/>
  <c r="E12" i="4"/>
  <c r="D12" i="4"/>
  <c r="C12" i="4"/>
  <c r="B12" i="4"/>
  <c r="I11" i="4"/>
  <c r="H11" i="4"/>
  <c r="G11" i="4"/>
  <c r="E11" i="4"/>
  <c r="D11" i="4"/>
  <c r="C11" i="4"/>
  <c r="B11" i="4"/>
  <c r="I596" i="4"/>
  <c r="H596" i="4"/>
  <c r="G596" i="4"/>
  <c r="E596" i="4"/>
  <c r="D596" i="4"/>
  <c r="C596" i="4"/>
  <c r="B596" i="4"/>
  <c r="I595" i="4"/>
  <c r="H595" i="4"/>
  <c r="G595" i="4"/>
  <c r="E595" i="4"/>
  <c r="D595" i="4"/>
  <c r="C595" i="4"/>
  <c r="B595" i="4"/>
  <c r="I594" i="4"/>
  <c r="H594" i="4"/>
  <c r="G594" i="4"/>
  <c r="E594" i="4"/>
  <c r="D594" i="4"/>
  <c r="C594" i="4"/>
  <c r="B594" i="4"/>
  <c r="I593" i="4"/>
  <c r="H593" i="4"/>
  <c r="G593" i="4"/>
  <c r="E593" i="4"/>
  <c r="D593" i="4"/>
  <c r="C593" i="4"/>
  <c r="B593" i="4"/>
  <c r="I592" i="4"/>
  <c r="H592" i="4"/>
  <c r="G592" i="4"/>
  <c r="E592" i="4"/>
  <c r="D592" i="4"/>
  <c r="C592" i="4"/>
  <c r="B592" i="4"/>
  <c r="I591" i="4"/>
  <c r="H591" i="4"/>
  <c r="G591" i="4"/>
  <c r="E591" i="4"/>
  <c r="D591" i="4"/>
  <c r="C591" i="4"/>
  <c r="B591" i="4"/>
  <c r="I590" i="4"/>
  <c r="H590" i="4"/>
  <c r="G590" i="4"/>
  <c r="E590" i="4"/>
  <c r="D590" i="4"/>
  <c r="C590" i="4"/>
  <c r="B590" i="4"/>
  <c r="I589" i="4"/>
  <c r="H589" i="4"/>
  <c r="G589" i="4"/>
  <c r="E589" i="4"/>
  <c r="D589" i="4"/>
  <c r="C589" i="4"/>
  <c r="B589" i="4"/>
  <c r="I588" i="4"/>
  <c r="H588" i="4"/>
  <c r="G588" i="4"/>
  <c r="E588" i="4"/>
  <c r="D588" i="4"/>
  <c r="C588" i="4"/>
  <c r="B588" i="4"/>
  <c r="I587" i="4"/>
  <c r="H587" i="4"/>
  <c r="G587" i="4"/>
  <c r="E587" i="4"/>
  <c r="D587" i="4"/>
  <c r="C587" i="4"/>
  <c r="B587" i="4"/>
  <c r="I586" i="4"/>
  <c r="H586" i="4"/>
  <c r="G586" i="4"/>
  <c r="E586" i="4"/>
  <c r="D586" i="4"/>
  <c r="C586" i="4"/>
  <c r="B586" i="4"/>
  <c r="I585" i="4"/>
  <c r="H585" i="4"/>
  <c r="G585" i="4"/>
  <c r="E585" i="4"/>
  <c r="D585" i="4"/>
  <c r="C585" i="4"/>
  <c r="B585" i="4"/>
  <c r="I584" i="4"/>
  <c r="H584" i="4"/>
  <c r="G584" i="4"/>
  <c r="E584" i="4"/>
  <c r="D584" i="4"/>
  <c r="C584" i="4"/>
  <c r="B584" i="4"/>
  <c r="I583" i="4"/>
  <c r="H583" i="4"/>
  <c r="G583" i="4"/>
  <c r="E583" i="4"/>
  <c r="D583" i="4"/>
  <c r="C583" i="4"/>
  <c r="B583" i="4"/>
  <c r="I577" i="4"/>
  <c r="H577" i="4"/>
  <c r="G577" i="4"/>
  <c r="E577" i="4"/>
  <c r="D577" i="4"/>
  <c r="C577" i="4"/>
  <c r="B577" i="4"/>
  <c r="I576" i="4"/>
  <c r="H576" i="4"/>
  <c r="G576" i="4"/>
  <c r="E576" i="4"/>
  <c r="D576" i="4"/>
  <c r="C576" i="4"/>
  <c r="B576" i="4"/>
  <c r="I575" i="4"/>
  <c r="H575" i="4"/>
  <c r="G575" i="4"/>
  <c r="E575" i="4"/>
  <c r="D575" i="4"/>
  <c r="C575" i="4"/>
  <c r="B575" i="4"/>
  <c r="I574" i="4"/>
  <c r="H574" i="4"/>
  <c r="G574" i="4"/>
  <c r="E574" i="4"/>
  <c r="D574" i="4"/>
  <c r="C574" i="4"/>
  <c r="B574" i="4"/>
  <c r="I573" i="4"/>
  <c r="H573" i="4"/>
  <c r="G573" i="4"/>
  <c r="E573" i="4"/>
  <c r="D573" i="4"/>
  <c r="C573" i="4"/>
  <c r="B573" i="4"/>
  <c r="I572" i="4"/>
  <c r="H572" i="4"/>
  <c r="G572" i="4"/>
  <c r="E572" i="4"/>
  <c r="D572" i="4"/>
  <c r="C572" i="4"/>
  <c r="B572" i="4"/>
  <c r="I571" i="4"/>
  <c r="H571" i="4"/>
  <c r="G571" i="4"/>
  <c r="E571" i="4"/>
  <c r="D571" i="4"/>
  <c r="C571" i="4"/>
  <c r="B571" i="4"/>
  <c r="I570" i="4"/>
  <c r="H570" i="4"/>
  <c r="G570" i="4"/>
  <c r="E570" i="4"/>
  <c r="D570" i="4"/>
  <c r="C570" i="4"/>
  <c r="B570" i="4"/>
  <c r="I569" i="4"/>
  <c r="H569" i="4"/>
  <c r="G569" i="4"/>
  <c r="E569" i="4"/>
  <c r="D569" i="4"/>
  <c r="C569" i="4"/>
  <c r="B569" i="4"/>
  <c r="I568" i="4"/>
  <c r="H568" i="4"/>
  <c r="G568" i="4"/>
  <c r="E568" i="4"/>
  <c r="D568" i="4"/>
  <c r="C568" i="4"/>
  <c r="B568" i="4"/>
  <c r="I567" i="4"/>
  <c r="H567" i="4"/>
  <c r="G567" i="4"/>
  <c r="E567" i="4"/>
  <c r="D567" i="4"/>
  <c r="C567" i="4"/>
  <c r="B567" i="4"/>
  <c r="I566" i="4"/>
  <c r="H566" i="4"/>
  <c r="G566" i="4"/>
  <c r="E566" i="4"/>
  <c r="D566" i="4"/>
  <c r="C566" i="4"/>
  <c r="B566" i="4"/>
  <c r="I565" i="4"/>
  <c r="H565" i="4"/>
  <c r="G565" i="4"/>
  <c r="E565" i="4"/>
  <c r="D565" i="4"/>
  <c r="C565" i="4"/>
  <c r="B565" i="4"/>
  <c r="I564" i="4"/>
  <c r="H564" i="4"/>
  <c r="G564" i="4"/>
  <c r="E564" i="4"/>
  <c r="D564" i="4"/>
  <c r="C564" i="4"/>
  <c r="B564" i="4"/>
  <c r="I563" i="4"/>
  <c r="H563" i="4"/>
  <c r="G563" i="4"/>
  <c r="E563" i="4"/>
  <c r="D563" i="4"/>
  <c r="C563" i="4"/>
  <c r="B563" i="4"/>
  <c r="I541" i="4"/>
  <c r="H541" i="4"/>
  <c r="G541" i="4"/>
  <c r="E541" i="4"/>
  <c r="D541" i="4"/>
  <c r="C541" i="4"/>
  <c r="B541" i="4"/>
  <c r="I540" i="4"/>
  <c r="H540" i="4"/>
  <c r="G540" i="4"/>
  <c r="E540" i="4"/>
  <c r="D540" i="4"/>
  <c r="C540" i="4"/>
  <c r="B540" i="4"/>
  <c r="I539" i="4"/>
  <c r="H539" i="4"/>
  <c r="G539" i="4"/>
  <c r="E539" i="4"/>
  <c r="D539" i="4"/>
  <c r="C539" i="4"/>
  <c r="B539" i="4"/>
  <c r="I538" i="4"/>
  <c r="H538" i="4"/>
  <c r="G538" i="4"/>
  <c r="E538" i="4"/>
  <c r="D538" i="4"/>
  <c r="C538" i="4"/>
  <c r="B538" i="4"/>
  <c r="I537" i="4"/>
  <c r="H537" i="4"/>
  <c r="G537" i="4"/>
  <c r="E537" i="4"/>
  <c r="D537" i="4"/>
  <c r="C537" i="4"/>
  <c r="B537" i="4"/>
  <c r="I536" i="4"/>
  <c r="H536" i="4"/>
  <c r="G536" i="4"/>
  <c r="E536" i="4"/>
  <c r="D536" i="4"/>
  <c r="C536" i="4"/>
  <c r="B536" i="4"/>
  <c r="I535" i="4"/>
  <c r="H535" i="4"/>
  <c r="G535" i="4"/>
  <c r="E535" i="4"/>
  <c r="D535" i="4"/>
  <c r="C535" i="4"/>
  <c r="B535" i="4"/>
  <c r="I534" i="4"/>
  <c r="H534" i="4"/>
  <c r="G534" i="4"/>
  <c r="E534" i="4"/>
  <c r="D534" i="4"/>
  <c r="C534" i="4"/>
  <c r="B534" i="4"/>
  <c r="I533" i="4"/>
  <c r="H533" i="4"/>
  <c r="G533" i="4"/>
  <c r="E533" i="4"/>
  <c r="D533" i="4"/>
  <c r="C533" i="4"/>
  <c r="B533" i="4"/>
  <c r="I532" i="4"/>
  <c r="H532" i="4"/>
  <c r="G532" i="4"/>
  <c r="E532" i="4"/>
  <c r="D532" i="4"/>
  <c r="C532" i="4"/>
  <c r="B532" i="4"/>
  <c r="I531" i="4"/>
  <c r="H531" i="4"/>
  <c r="G531" i="4"/>
  <c r="E531" i="4"/>
  <c r="D531" i="4"/>
  <c r="C531" i="4"/>
  <c r="B531" i="4"/>
  <c r="I530" i="4"/>
  <c r="H530" i="4"/>
  <c r="G530" i="4"/>
  <c r="E530" i="4"/>
  <c r="D530" i="4"/>
  <c r="C530" i="4"/>
  <c r="B530" i="4"/>
  <c r="I529" i="4"/>
  <c r="H529" i="4"/>
  <c r="G529" i="4"/>
  <c r="E529" i="4"/>
  <c r="D529" i="4"/>
  <c r="C529" i="4"/>
  <c r="B529" i="4"/>
  <c r="I528" i="4"/>
  <c r="H528" i="4"/>
  <c r="G528" i="4"/>
  <c r="E528" i="4"/>
  <c r="D528" i="4"/>
  <c r="C528" i="4"/>
  <c r="B528" i="4"/>
  <c r="I527" i="4"/>
  <c r="H527" i="4"/>
  <c r="G527" i="4"/>
  <c r="E527" i="4"/>
  <c r="D527" i="4"/>
  <c r="C527" i="4"/>
  <c r="B527" i="4"/>
  <c r="I526" i="4"/>
  <c r="H526" i="4"/>
  <c r="G526" i="4"/>
  <c r="E526" i="4"/>
  <c r="D526" i="4"/>
  <c r="C526" i="4"/>
  <c r="B526" i="4"/>
  <c r="I525" i="4"/>
  <c r="H525" i="4"/>
  <c r="G525" i="4"/>
  <c r="E525" i="4"/>
  <c r="D525" i="4"/>
  <c r="C525" i="4"/>
  <c r="B525" i="4"/>
  <c r="I524" i="4"/>
  <c r="H524" i="4"/>
  <c r="G524" i="4"/>
  <c r="E524" i="4"/>
  <c r="D524" i="4"/>
  <c r="C524" i="4"/>
  <c r="B524" i="4"/>
  <c r="I523" i="4"/>
  <c r="H523" i="4"/>
  <c r="G523" i="4"/>
  <c r="E523" i="4"/>
  <c r="D523" i="4"/>
  <c r="C523" i="4"/>
  <c r="B523" i="4"/>
  <c r="I522" i="4"/>
  <c r="H522" i="4"/>
  <c r="G522" i="4"/>
  <c r="E522" i="4"/>
  <c r="D522" i="4"/>
  <c r="C522" i="4"/>
  <c r="B522" i="4"/>
  <c r="I521" i="4"/>
  <c r="H521" i="4"/>
  <c r="G521" i="4"/>
  <c r="E521" i="4"/>
  <c r="D521" i="4"/>
  <c r="C521" i="4"/>
  <c r="B521" i="4"/>
  <c r="I520" i="4"/>
  <c r="H520" i="4"/>
  <c r="G520" i="4"/>
  <c r="E520" i="4"/>
  <c r="D520" i="4"/>
  <c r="C520" i="4"/>
  <c r="B520" i="4"/>
  <c r="I519" i="4"/>
  <c r="H519" i="4"/>
  <c r="G519" i="4"/>
  <c r="E519" i="4"/>
  <c r="D519" i="4"/>
  <c r="C519" i="4"/>
  <c r="B519" i="4"/>
  <c r="I518" i="4"/>
  <c r="H518" i="4"/>
  <c r="G518" i="4"/>
  <c r="E518" i="4"/>
  <c r="D518" i="4"/>
  <c r="C518" i="4"/>
  <c r="B518" i="4"/>
  <c r="I517" i="4"/>
  <c r="H517" i="4"/>
  <c r="G517" i="4"/>
  <c r="E517" i="4"/>
  <c r="D517" i="4"/>
  <c r="C517" i="4"/>
  <c r="B517" i="4"/>
  <c r="I514" i="4"/>
  <c r="H514" i="4"/>
  <c r="G514" i="4"/>
  <c r="E514" i="4"/>
  <c r="D514" i="4"/>
  <c r="C514" i="4"/>
  <c r="B514" i="4"/>
  <c r="I513" i="4"/>
  <c r="H513" i="4"/>
  <c r="G513" i="4"/>
  <c r="E513" i="4"/>
  <c r="D513" i="4"/>
  <c r="C513" i="4"/>
  <c r="B513" i="4"/>
  <c r="I512" i="4"/>
  <c r="H512" i="4"/>
  <c r="G512" i="4"/>
  <c r="E512" i="4"/>
  <c r="D512" i="4"/>
  <c r="C512" i="4"/>
  <c r="B512" i="4"/>
  <c r="I511" i="4"/>
  <c r="H511" i="4"/>
  <c r="G511" i="4"/>
  <c r="E511" i="4"/>
  <c r="D511" i="4"/>
  <c r="C511" i="4"/>
  <c r="B511" i="4"/>
  <c r="I510" i="4"/>
  <c r="H510" i="4"/>
  <c r="G510" i="4"/>
  <c r="E510" i="4"/>
  <c r="D510" i="4"/>
  <c r="C510" i="4"/>
  <c r="B510" i="4"/>
  <c r="I509" i="4"/>
  <c r="H509" i="4"/>
  <c r="G509" i="4"/>
  <c r="E509" i="4"/>
  <c r="D509" i="4"/>
  <c r="C509" i="4"/>
  <c r="B509" i="4"/>
  <c r="I508" i="4"/>
  <c r="H508" i="4"/>
  <c r="G508" i="4"/>
  <c r="E508" i="4"/>
  <c r="D508" i="4"/>
  <c r="C508" i="4"/>
  <c r="B508" i="4"/>
  <c r="I507" i="4"/>
  <c r="H507" i="4"/>
  <c r="G507" i="4"/>
  <c r="E507" i="4"/>
  <c r="D507" i="4"/>
  <c r="C507" i="4"/>
  <c r="B507" i="4"/>
  <c r="I503" i="4"/>
  <c r="H503" i="4"/>
  <c r="G503" i="4"/>
  <c r="E503" i="4"/>
  <c r="D503" i="4"/>
  <c r="C503" i="4"/>
  <c r="B503" i="4"/>
  <c r="I502" i="4"/>
  <c r="H502" i="4"/>
  <c r="G502" i="4"/>
  <c r="E502" i="4"/>
  <c r="D502" i="4"/>
  <c r="C502" i="4"/>
  <c r="B502" i="4"/>
  <c r="I501" i="4"/>
  <c r="H501" i="4"/>
  <c r="G501" i="4"/>
  <c r="E501" i="4"/>
  <c r="D501" i="4"/>
  <c r="C501" i="4"/>
  <c r="B501" i="4"/>
  <c r="I500" i="4"/>
  <c r="H500" i="4"/>
  <c r="G500" i="4"/>
  <c r="E500" i="4"/>
  <c r="D500" i="4"/>
  <c r="C500" i="4"/>
  <c r="B500" i="4"/>
  <c r="I499" i="4"/>
  <c r="H499" i="4"/>
  <c r="G499" i="4"/>
  <c r="E499" i="4"/>
  <c r="D499" i="4"/>
  <c r="C499" i="4"/>
  <c r="B499" i="4"/>
  <c r="I498" i="4"/>
  <c r="H498" i="4"/>
  <c r="G498" i="4"/>
  <c r="E498" i="4"/>
  <c r="D498" i="4"/>
  <c r="C498" i="4"/>
  <c r="B498" i="4"/>
  <c r="I497" i="4"/>
  <c r="H497" i="4"/>
  <c r="G497" i="4"/>
  <c r="E497" i="4"/>
  <c r="D497" i="4"/>
  <c r="C497" i="4"/>
  <c r="B497" i="4"/>
  <c r="I491" i="4"/>
  <c r="H491" i="4"/>
  <c r="G491" i="4"/>
  <c r="E491" i="4"/>
  <c r="D491" i="4"/>
  <c r="C491" i="4"/>
  <c r="B491" i="4"/>
  <c r="I490" i="4"/>
  <c r="H490" i="4"/>
  <c r="G490" i="4"/>
  <c r="E490" i="4"/>
  <c r="D490" i="4"/>
  <c r="C490" i="4"/>
  <c r="B490" i="4"/>
  <c r="I489" i="4"/>
  <c r="H489" i="4"/>
  <c r="G489" i="4"/>
  <c r="E489" i="4"/>
  <c r="D489" i="4"/>
  <c r="C489" i="4"/>
  <c r="B489" i="4"/>
  <c r="I488" i="4"/>
  <c r="H488" i="4"/>
  <c r="G488" i="4"/>
  <c r="E488" i="4"/>
  <c r="D488" i="4"/>
  <c r="C488" i="4"/>
  <c r="B488" i="4"/>
  <c r="I487" i="4"/>
  <c r="H487" i="4"/>
  <c r="G487" i="4"/>
  <c r="E487" i="4"/>
  <c r="D487" i="4"/>
  <c r="C487" i="4"/>
  <c r="B487" i="4"/>
  <c r="I486" i="4"/>
  <c r="H486" i="4"/>
  <c r="G486" i="4"/>
  <c r="E486" i="4"/>
  <c r="D486" i="4"/>
  <c r="C486" i="4"/>
  <c r="B486" i="4"/>
  <c r="I485" i="4"/>
  <c r="H485" i="4"/>
  <c r="G485" i="4"/>
  <c r="E485" i="4"/>
  <c r="D485" i="4"/>
  <c r="C485" i="4"/>
  <c r="B485" i="4"/>
  <c r="I484" i="4"/>
  <c r="H484" i="4"/>
  <c r="G484" i="4"/>
  <c r="E484" i="4"/>
  <c r="D484" i="4"/>
  <c r="C484" i="4"/>
  <c r="B484" i="4"/>
  <c r="I480" i="4"/>
  <c r="H480" i="4"/>
  <c r="G480" i="4"/>
  <c r="E480" i="4"/>
  <c r="D480" i="4"/>
  <c r="C480" i="4"/>
  <c r="B480" i="4"/>
  <c r="I479" i="4"/>
  <c r="H479" i="4"/>
  <c r="G479" i="4"/>
  <c r="E479" i="4"/>
  <c r="D479" i="4"/>
  <c r="C479" i="4"/>
  <c r="B479" i="4"/>
  <c r="I478" i="4"/>
  <c r="H478" i="4"/>
  <c r="G478" i="4"/>
  <c r="E478" i="4"/>
  <c r="D478" i="4"/>
  <c r="C478" i="4"/>
  <c r="B478" i="4"/>
  <c r="I477" i="4"/>
  <c r="H477" i="4"/>
  <c r="G477" i="4"/>
  <c r="E477" i="4"/>
  <c r="D477" i="4"/>
  <c r="C477" i="4"/>
  <c r="B477" i="4"/>
  <c r="I476" i="4"/>
  <c r="H476" i="4"/>
  <c r="G476" i="4"/>
  <c r="E476" i="4"/>
  <c r="D476" i="4"/>
  <c r="C476" i="4"/>
  <c r="B476" i="4"/>
  <c r="I475" i="4"/>
  <c r="H475" i="4"/>
  <c r="G475" i="4"/>
  <c r="E475" i="4"/>
  <c r="D475" i="4"/>
  <c r="C475" i="4"/>
  <c r="B475" i="4"/>
  <c r="I474" i="4"/>
  <c r="H474" i="4"/>
  <c r="G474" i="4"/>
  <c r="E474" i="4"/>
  <c r="D474" i="4"/>
  <c r="C474" i="4"/>
  <c r="B474" i="4"/>
  <c r="I469" i="4"/>
  <c r="H469" i="4"/>
  <c r="G469" i="4"/>
  <c r="E469" i="4"/>
  <c r="D469" i="4"/>
  <c r="C469" i="4"/>
  <c r="B469" i="4"/>
  <c r="I468" i="4"/>
  <c r="H468" i="4"/>
  <c r="G468" i="4"/>
  <c r="E468" i="4"/>
  <c r="D468" i="4"/>
  <c r="C468" i="4"/>
  <c r="B468" i="4"/>
  <c r="I467" i="4"/>
  <c r="H467" i="4"/>
  <c r="G467" i="4"/>
  <c r="E467" i="4"/>
  <c r="D467" i="4"/>
  <c r="C467" i="4"/>
  <c r="B467" i="4"/>
  <c r="I463" i="4"/>
  <c r="H463" i="4"/>
  <c r="G463" i="4"/>
  <c r="E463" i="4"/>
  <c r="D463" i="4"/>
  <c r="C463" i="4"/>
  <c r="B463" i="4"/>
  <c r="I462" i="4"/>
  <c r="H462" i="4"/>
  <c r="G462" i="4"/>
  <c r="E462" i="4"/>
  <c r="D462" i="4"/>
  <c r="C462" i="4"/>
  <c r="B462" i="4"/>
  <c r="I461" i="4"/>
  <c r="H461" i="4"/>
  <c r="G461" i="4"/>
  <c r="E461" i="4"/>
  <c r="D461" i="4"/>
  <c r="C461" i="4"/>
  <c r="B461" i="4"/>
  <c r="I460" i="4"/>
  <c r="H460" i="4"/>
  <c r="G460" i="4"/>
  <c r="E460" i="4"/>
  <c r="D460" i="4"/>
  <c r="C460" i="4"/>
  <c r="B460" i="4"/>
  <c r="I459" i="4"/>
  <c r="H459" i="4"/>
  <c r="G459" i="4"/>
  <c r="E459" i="4"/>
  <c r="D459" i="4"/>
  <c r="C459" i="4"/>
  <c r="B459" i="4"/>
  <c r="I458" i="4"/>
  <c r="H458" i="4"/>
  <c r="G458" i="4"/>
  <c r="E458" i="4"/>
  <c r="D458" i="4"/>
  <c r="C458" i="4"/>
  <c r="B458" i="4"/>
  <c r="I457" i="4"/>
  <c r="H457" i="4"/>
  <c r="G457" i="4"/>
  <c r="E457" i="4"/>
  <c r="D457" i="4"/>
  <c r="C457" i="4"/>
  <c r="B457" i="4"/>
  <c r="I456" i="4"/>
  <c r="H456" i="4"/>
  <c r="G456" i="4"/>
  <c r="E456" i="4"/>
  <c r="D456" i="4"/>
  <c r="C456" i="4"/>
  <c r="B456" i="4"/>
  <c r="I452" i="4"/>
  <c r="H452" i="4"/>
  <c r="G452" i="4"/>
  <c r="E452" i="4"/>
  <c r="D452" i="4"/>
  <c r="C452" i="4"/>
  <c r="B452" i="4"/>
  <c r="I451" i="4"/>
  <c r="H451" i="4"/>
  <c r="G451" i="4"/>
  <c r="E451" i="4"/>
  <c r="D451" i="4"/>
  <c r="C451" i="4"/>
  <c r="B451" i="4"/>
  <c r="I450" i="4"/>
  <c r="H450" i="4"/>
  <c r="G450" i="4"/>
  <c r="E450" i="4"/>
  <c r="D450" i="4"/>
  <c r="C450" i="4"/>
  <c r="B450" i="4"/>
  <c r="I449" i="4"/>
  <c r="H449" i="4"/>
  <c r="G449" i="4"/>
  <c r="E449" i="4"/>
  <c r="D449" i="4"/>
  <c r="C449" i="4"/>
  <c r="B449" i="4"/>
  <c r="I448" i="4"/>
  <c r="H448" i="4"/>
  <c r="G448" i="4"/>
  <c r="E448" i="4"/>
  <c r="D448" i="4"/>
  <c r="C448" i="4"/>
  <c r="B448" i="4"/>
  <c r="I447" i="4"/>
  <c r="H447" i="4"/>
  <c r="G447" i="4"/>
  <c r="E447" i="4"/>
  <c r="D447" i="4"/>
  <c r="C447" i="4"/>
  <c r="B447" i="4"/>
  <c r="I446" i="4"/>
  <c r="H446" i="4"/>
  <c r="G446" i="4"/>
  <c r="E446" i="4"/>
  <c r="D446" i="4"/>
  <c r="C446" i="4"/>
  <c r="B446" i="4"/>
  <c r="I445" i="4"/>
  <c r="H445" i="4"/>
  <c r="G445" i="4"/>
  <c r="E445" i="4"/>
  <c r="D445" i="4"/>
  <c r="C445" i="4"/>
  <c r="B445" i="4"/>
  <c r="I444" i="4"/>
  <c r="H444" i="4"/>
  <c r="G444" i="4"/>
  <c r="E444" i="4"/>
  <c r="D444" i="4"/>
  <c r="C444" i="4"/>
  <c r="B444" i="4"/>
  <c r="I443" i="4"/>
  <c r="H443" i="4"/>
  <c r="G443" i="4"/>
  <c r="E443" i="4"/>
  <c r="D443" i="4"/>
  <c r="C443" i="4"/>
  <c r="B443" i="4"/>
  <c r="I442" i="4"/>
  <c r="H442" i="4"/>
  <c r="G442" i="4"/>
  <c r="E442" i="4"/>
  <c r="D442" i="4"/>
  <c r="C442" i="4"/>
  <c r="B442" i="4"/>
  <c r="I441" i="4"/>
  <c r="H441" i="4"/>
  <c r="G441" i="4"/>
  <c r="E441" i="4"/>
  <c r="D441" i="4"/>
  <c r="C441" i="4"/>
  <c r="B441" i="4"/>
  <c r="I440" i="4"/>
  <c r="H440" i="4"/>
  <c r="G440" i="4"/>
  <c r="E440" i="4"/>
  <c r="D440" i="4"/>
  <c r="C440" i="4"/>
  <c r="B440" i="4"/>
  <c r="I437" i="4"/>
  <c r="H437" i="4"/>
  <c r="G437" i="4"/>
  <c r="E437" i="4"/>
  <c r="D437" i="4"/>
  <c r="C437" i="4"/>
  <c r="B437" i="4"/>
  <c r="I436" i="4"/>
  <c r="H436" i="4"/>
  <c r="G436" i="4"/>
  <c r="E436" i="4"/>
  <c r="D436" i="4"/>
  <c r="C436" i="4"/>
  <c r="B436" i="4"/>
  <c r="I435" i="4"/>
  <c r="H435" i="4"/>
  <c r="G435" i="4"/>
  <c r="E435" i="4"/>
  <c r="D435" i="4"/>
  <c r="C435" i="4"/>
  <c r="B435" i="4"/>
  <c r="I434" i="4"/>
  <c r="H434" i="4"/>
  <c r="G434" i="4"/>
  <c r="E434" i="4"/>
  <c r="D434" i="4"/>
  <c r="C434" i="4"/>
  <c r="B434" i="4"/>
  <c r="I433" i="4"/>
  <c r="H433" i="4"/>
  <c r="G433" i="4"/>
  <c r="E433" i="4"/>
  <c r="D433" i="4"/>
  <c r="C433" i="4"/>
  <c r="B433" i="4"/>
  <c r="I432" i="4"/>
  <c r="H432" i="4"/>
  <c r="G432" i="4"/>
  <c r="E432" i="4"/>
  <c r="D432" i="4"/>
  <c r="C432" i="4"/>
  <c r="B432" i="4"/>
  <c r="I427" i="4"/>
  <c r="H427" i="4"/>
  <c r="G427" i="4"/>
  <c r="E427" i="4"/>
  <c r="D427" i="4"/>
  <c r="C427" i="4"/>
  <c r="B427" i="4"/>
  <c r="I426" i="4"/>
  <c r="H426" i="4"/>
  <c r="G426" i="4"/>
  <c r="E426" i="4"/>
  <c r="D426" i="4"/>
  <c r="C426" i="4"/>
  <c r="B426" i="4"/>
  <c r="I425" i="4"/>
  <c r="H425" i="4"/>
  <c r="G425" i="4"/>
  <c r="E425" i="4"/>
  <c r="D425" i="4"/>
  <c r="C425" i="4"/>
  <c r="B425" i="4"/>
  <c r="I424" i="4"/>
  <c r="H424" i="4"/>
  <c r="G424" i="4"/>
  <c r="E424" i="4"/>
  <c r="D424" i="4"/>
  <c r="C424" i="4"/>
  <c r="B424" i="4"/>
  <c r="I423" i="4"/>
  <c r="H423" i="4"/>
  <c r="G423" i="4"/>
  <c r="E423" i="4"/>
  <c r="D423" i="4"/>
  <c r="C423" i="4"/>
  <c r="B423" i="4"/>
  <c r="I422" i="4"/>
  <c r="H422" i="4"/>
  <c r="G422" i="4"/>
  <c r="E422" i="4"/>
  <c r="D422" i="4"/>
  <c r="C422" i="4"/>
  <c r="B422" i="4"/>
  <c r="I421" i="4"/>
  <c r="H421" i="4"/>
  <c r="G421" i="4"/>
  <c r="E421" i="4"/>
  <c r="D421" i="4"/>
  <c r="C421" i="4"/>
  <c r="B421" i="4"/>
  <c r="I420" i="4"/>
  <c r="H420" i="4"/>
  <c r="G420" i="4"/>
  <c r="E420" i="4"/>
  <c r="D420" i="4"/>
  <c r="C420" i="4"/>
  <c r="B420" i="4"/>
  <c r="I419" i="4"/>
  <c r="H419" i="4"/>
  <c r="G419" i="4"/>
  <c r="E419" i="4"/>
  <c r="D419" i="4"/>
  <c r="C419" i="4"/>
  <c r="B419" i="4"/>
  <c r="I418" i="4"/>
  <c r="H418" i="4"/>
  <c r="G418" i="4"/>
  <c r="E418" i="4"/>
  <c r="D418" i="4"/>
  <c r="C418" i="4"/>
  <c r="B418" i="4"/>
  <c r="I417" i="4"/>
  <c r="H417" i="4"/>
  <c r="G417" i="4"/>
  <c r="E417" i="4"/>
  <c r="D417" i="4"/>
  <c r="C417" i="4"/>
  <c r="B417" i="4"/>
  <c r="I416" i="4"/>
  <c r="H416" i="4"/>
  <c r="G416" i="4"/>
  <c r="E416" i="4"/>
  <c r="D416" i="4"/>
  <c r="C416" i="4"/>
  <c r="B416" i="4"/>
  <c r="I415" i="4"/>
  <c r="H415" i="4"/>
  <c r="G415" i="4"/>
  <c r="E415" i="4"/>
  <c r="D415" i="4"/>
  <c r="C415" i="4"/>
  <c r="B415" i="4"/>
  <c r="I414" i="4"/>
  <c r="H414" i="4"/>
  <c r="G414" i="4"/>
  <c r="E414" i="4"/>
  <c r="D414" i="4"/>
  <c r="C414" i="4"/>
  <c r="B414" i="4"/>
  <c r="I413" i="4"/>
  <c r="H413" i="4"/>
  <c r="G413" i="4"/>
  <c r="E413" i="4"/>
  <c r="D413" i="4"/>
  <c r="C413" i="4"/>
  <c r="B413" i="4"/>
  <c r="I412" i="4"/>
  <c r="H412" i="4"/>
  <c r="G412" i="4"/>
  <c r="E412" i="4"/>
  <c r="D412" i="4"/>
  <c r="C412" i="4"/>
  <c r="B412" i="4"/>
  <c r="I411" i="4"/>
  <c r="H411" i="4"/>
  <c r="G411" i="4"/>
  <c r="E411" i="4"/>
  <c r="D411" i="4"/>
  <c r="C411" i="4"/>
  <c r="B411" i="4"/>
  <c r="I410" i="4"/>
  <c r="H410" i="4"/>
  <c r="G410" i="4"/>
  <c r="E410" i="4"/>
  <c r="D410" i="4"/>
  <c r="C410" i="4"/>
  <c r="B410" i="4"/>
  <c r="I409" i="4"/>
  <c r="H409" i="4"/>
  <c r="G409" i="4"/>
  <c r="E409" i="4"/>
  <c r="D409" i="4"/>
  <c r="C409" i="4"/>
  <c r="B409" i="4"/>
  <c r="I408" i="4"/>
  <c r="H408" i="4"/>
  <c r="G408" i="4"/>
  <c r="E408" i="4"/>
  <c r="D408" i="4"/>
  <c r="C408" i="4"/>
  <c r="B408" i="4"/>
  <c r="I407" i="4"/>
  <c r="H407" i="4"/>
  <c r="G407" i="4"/>
  <c r="E407" i="4"/>
  <c r="D407" i="4"/>
  <c r="C407" i="4"/>
  <c r="B407" i="4"/>
  <c r="I406" i="4"/>
  <c r="H406" i="4"/>
  <c r="G406" i="4"/>
  <c r="E406" i="4"/>
  <c r="D406" i="4"/>
  <c r="C406" i="4"/>
  <c r="B406" i="4"/>
  <c r="I405" i="4"/>
  <c r="H405" i="4"/>
  <c r="G405" i="4"/>
  <c r="E405" i="4"/>
  <c r="D405" i="4"/>
  <c r="C405" i="4"/>
  <c r="B405" i="4"/>
  <c r="I404" i="4"/>
  <c r="H404" i="4"/>
  <c r="G404" i="4"/>
  <c r="E404" i="4"/>
  <c r="D404" i="4"/>
  <c r="C404" i="4"/>
  <c r="B404" i="4"/>
  <c r="I403" i="4"/>
  <c r="H403" i="4"/>
  <c r="G403" i="4"/>
  <c r="E403" i="4"/>
  <c r="D403" i="4"/>
  <c r="C403" i="4"/>
  <c r="B403" i="4"/>
  <c r="I402" i="4"/>
  <c r="H402" i="4"/>
  <c r="G402" i="4"/>
  <c r="E402" i="4"/>
  <c r="D402" i="4"/>
  <c r="C402" i="4"/>
  <c r="B402" i="4"/>
  <c r="I401" i="4"/>
  <c r="H401" i="4"/>
  <c r="G401" i="4"/>
  <c r="E401" i="4"/>
  <c r="D401" i="4"/>
  <c r="C401" i="4"/>
  <c r="B401" i="4"/>
  <c r="I400" i="4"/>
  <c r="H400" i="4"/>
  <c r="G400" i="4"/>
  <c r="E400" i="4"/>
  <c r="D400" i="4"/>
  <c r="C400" i="4"/>
  <c r="B400" i="4"/>
  <c r="I399" i="4"/>
  <c r="H399" i="4"/>
  <c r="G399" i="4"/>
  <c r="E399" i="4"/>
  <c r="D399" i="4"/>
  <c r="C399" i="4"/>
  <c r="B399" i="4"/>
  <c r="I398" i="4"/>
  <c r="H398" i="4"/>
  <c r="G398" i="4"/>
  <c r="E398" i="4"/>
  <c r="D398" i="4"/>
  <c r="C398" i="4"/>
  <c r="B398" i="4"/>
  <c r="I397" i="4"/>
  <c r="H397" i="4"/>
  <c r="G397" i="4"/>
  <c r="E397" i="4"/>
  <c r="D397" i="4"/>
  <c r="C397" i="4"/>
  <c r="B397" i="4"/>
  <c r="I396" i="4"/>
  <c r="H396" i="4"/>
  <c r="G396" i="4"/>
  <c r="E396" i="4"/>
  <c r="D396" i="4"/>
  <c r="C396" i="4"/>
  <c r="B396" i="4"/>
  <c r="I395" i="4"/>
  <c r="H395" i="4"/>
  <c r="G395" i="4"/>
  <c r="E395" i="4"/>
  <c r="D395" i="4"/>
  <c r="C395" i="4"/>
  <c r="B395" i="4"/>
  <c r="I392" i="4"/>
  <c r="H392" i="4"/>
  <c r="G392" i="4"/>
  <c r="E392" i="4"/>
  <c r="D392" i="4"/>
  <c r="C392" i="4"/>
  <c r="B392" i="4"/>
  <c r="I391" i="4"/>
  <c r="H391" i="4"/>
  <c r="G391" i="4"/>
  <c r="E391" i="4"/>
  <c r="D391" i="4"/>
  <c r="C391" i="4"/>
  <c r="B391" i="4"/>
  <c r="I389" i="4"/>
  <c r="H389" i="4"/>
  <c r="G389" i="4"/>
  <c r="E389" i="4"/>
  <c r="D389" i="4"/>
  <c r="C389" i="4"/>
  <c r="B389" i="4"/>
  <c r="I388" i="4"/>
  <c r="H388" i="4"/>
  <c r="G388" i="4"/>
  <c r="E388" i="4"/>
  <c r="D388" i="4"/>
  <c r="C388" i="4"/>
  <c r="B388" i="4"/>
  <c r="I387" i="4"/>
  <c r="H387" i="4"/>
  <c r="G387" i="4"/>
  <c r="E387" i="4"/>
  <c r="D387" i="4"/>
  <c r="C387" i="4"/>
  <c r="B387" i="4"/>
  <c r="I386" i="4"/>
  <c r="H386" i="4"/>
  <c r="G386" i="4"/>
  <c r="E386" i="4"/>
  <c r="D386" i="4"/>
  <c r="C386" i="4"/>
  <c r="B386" i="4"/>
  <c r="I384" i="4"/>
  <c r="H384" i="4"/>
  <c r="G384" i="4"/>
  <c r="E384" i="4"/>
  <c r="D384" i="4"/>
  <c r="C384" i="4"/>
  <c r="B384" i="4"/>
  <c r="I383" i="4"/>
  <c r="H383" i="4"/>
  <c r="G383" i="4"/>
  <c r="E383" i="4"/>
  <c r="D383" i="4"/>
  <c r="C383" i="4"/>
  <c r="B383" i="4"/>
  <c r="I382" i="4"/>
  <c r="H382" i="4"/>
  <c r="G382" i="4"/>
  <c r="E382" i="4"/>
  <c r="D382" i="4"/>
  <c r="C382" i="4"/>
  <c r="B382" i="4"/>
  <c r="I381" i="4"/>
  <c r="H381" i="4"/>
  <c r="G381" i="4"/>
  <c r="E381" i="4"/>
  <c r="D381" i="4"/>
  <c r="C381" i="4"/>
  <c r="B381" i="4"/>
  <c r="I380" i="4"/>
  <c r="H380" i="4"/>
  <c r="G380" i="4"/>
  <c r="E380" i="4"/>
  <c r="D380" i="4"/>
  <c r="C380" i="4"/>
  <c r="B380" i="4"/>
  <c r="I379" i="4"/>
  <c r="H379" i="4"/>
  <c r="G379" i="4"/>
  <c r="E379" i="4"/>
  <c r="D379" i="4"/>
  <c r="C379" i="4"/>
  <c r="B379" i="4"/>
  <c r="I378" i="4"/>
  <c r="H378" i="4"/>
  <c r="G378" i="4"/>
  <c r="E378" i="4"/>
  <c r="D378" i="4"/>
  <c r="C378" i="4"/>
  <c r="B378" i="4"/>
  <c r="I377" i="4"/>
  <c r="H377" i="4"/>
  <c r="G377" i="4"/>
  <c r="E377" i="4"/>
  <c r="D377" i="4"/>
  <c r="C377" i="4"/>
  <c r="B377" i="4"/>
  <c r="I376" i="4"/>
  <c r="H376" i="4"/>
  <c r="G376" i="4"/>
  <c r="E376" i="4"/>
  <c r="D376" i="4"/>
  <c r="C376" i="4"/>
  <c r="B376" i="4"/>
  <c r="I375" i="4"/>
  <c r="H375" i="4"/>
  <c r="G375" i="4"/>
  <c r="E375" i="4"/>
  <c r="D375" i="4"/>
  <c r="C375" i="4"/>
  <c r="B375" i="4"/>
  <c r="I371" i="4"/>
  <c r="H371" i="4"/>
  <c r="G371" i="4"/>
  <c r="E371" i="4"/>
  <c r="D371" i="4"/>
  <c r="C371" i="4"/>
  <c r="B371" i="4"/>
  <c r="I367" i="4"/>
  <c r="H367" i="4"/>
  <c r="G367" i="4"/>
  <c r="E367" i="4"/>
  <c r="D367" i="4"/>
  <c r="C367" i="4"/>
  <c r="B367" i="4"/>
  <c r="I366" i="4"/>
  <c r="H366" i="4"/>
  <c r="G366" i="4"/>
  <c r="E366" i="4"/>
  <c r="D366" i="4"/>
  <c r="C366" i="4"/>
  <c r="B366" i="4"/>
  <c r="I365" i="4"/>
  <c r="H365" i="4"/>
  <c r="G365" i="4"/>
  <c r="E365" i="4"/>
  <c r="D365" i="4"/>
  <c r="C365" i="4"/>
  <c r="B365" i="4"/>
  <c r="I364" i="4"/>
  <c r="H364" i="4"/>
  <c r="G364" i="4"/>
  <c r="E364" i="4"/>
  <c r="D364" i="4"/>
  <c r="C364" i="4"/>
  <c r="B364" i="4"/>
  <c r="I363" i="4"/>
  <c r="H363" i="4"/>
  <c r="G363" i="4"/>
  <c r="E363" i="4"/>
  <c r="D363" i="4"/>
  <c r="C363" i="4"/>
  <c r="B363" i="4"/>
  <c r="I362" i="4"/>
  <c r="H362" i="4"/>
  <c r="G362" i="4"/>
  <c r="E362" i="4"/>
  <c r="D362" i="4"/>
  <c r="C362" i="4"/>
  <c r="B362" i="4"/>
  <c r="I361" i="4"/>
  <c r="H361" i="4"/>
  <c r="G361" i="4"/>
  <c r="E361" i="4"/>
  <c r="D361" i="4"/>
  <c r="C361" i="4"/>
  <c r="B361" i="4"/>
  <c r="I360" i="4"/>
  <c r="H360" i="4"/>
  <c r="G360" i="4"/>
  <c r="E360" i="4"/>
  <c r="D360" i="4"/>
  <c r="C360" i="4"/>
  <c r="B360" i="4"/>
  <c r="I357" i="4"/>
  <c r="H357" i="4"/>
  <c r="G357" i="4"/>
  <c r="E357" i="4"/>
  <c r="D357" i="4"/>
  <c r="C357" i="4"/>
  <c r="B357" i="4"/>
  <c r="I356" i="4"/>
  <c r="H356" i="4"/>
  <c r="G356" i="4"/>
  <c r="E356" i="4"/>
  <c r="D356" i="4"/>
  <c r="C356" i="4"/>
  <c r="B356" i="4"/>
  <c r="I355" i="4"/>
  <c r="H355" i="4"/>
  <c r="G355" i="4"/>
  <c r="E355" i="4"/>
  <c r="D355" i="4"/>
  <c r="C355" i="4"/>
  <c r="B355" i="4"/>
  <c r="I354" i="4"/>
  <c r="H354" i="4"/>
  <c r="G354" i="4"/>
  <c r="E354" i="4"/>
  <c r="D354" i="4"/>
  <c r="C354" i="4"/>
  <c r="B354" i="4"/>
  <c r="I353" i="4"/>
  <c r="H353" i="4"/>
  <c r="G353" i="4"/>
  <c r="E353" i="4"/>
  <c r="D353" i="4"/>
  <c r="C353" i="4"/>
  <c r="B353" i="4"/>
  <c r="I352" i="4"/>
  <c r="H352" i="4"/>
  <c r="G352" i="4"/>
  <c r="E352" i="4"/>
  <c r="D352" i="4"/>
  <c r="C352" i="4"/>
  <c r="B352" i="4"/>
  <c r="I351" i="4"/>
  <c r="H351" i="4"/>
  <c r="G351" i="4"/>
  <c r="E351" i="4"/>
  <c r="D351" i="4"/>
  <c r="C351" i="4"/>
  <c r="B351" i="4"/>
  <c r="I350" i="4"/>
  <c r="H350" i="4"/>
  <c r="G350" i="4"/>
  <c r="E350" i="4"/>
  <c r="D350" i="4"/>
  <c r="C350" i="4"/>
  <c r="B350" i="4"/>
  <c r="I349" i="4"/>
  <c r="H349" i="4"/>
  <c r="G349" i="4"/>
  <c r="E349" i="4"/>
  <c r="D349" i="4"/>
  <c r="C349" i="4"/>
  <c r="B349" i="4"/>
  <c r="I348" i="4"/>
  <c r="H348" i="4"/>
  <c r="G348" i="4"/>
  <c r="E348" i="4"/>
  <c r="D348" i="4"/>
  <c r="C348" i="4"/>
  <c r="B348" i="4"/>
  <c r="I347" i="4"/>
  <c r="H347" i="4"/>
  <c r="G347" i="4"/>
  <c r="E347" i="4"/>
  <c r="D347" i="4"/>
  <c r="C347" i="4"/>
  <c r="B347" i="4"/>
  <c r="I346" i="4"/>
  <c r="H346" i="4"/>
  <c r="G346" i="4"/>
  <c r="E346" i="4"/>
  <c r="D346" i="4"/>
  <c r="C346" i="4"/>
  <c r="B346" i="4"/>
  <c r="I345" i="4"/>
  <c r="H345" i="4"/>
  <c r="G345" i="4"/>
  <c r="E345" i="4"/>
  <c r="D345" i="4"/>
  <c r="C345" i="4"/>
  <c r="B345" i="4"/>
  <c r="I344" i="4"/>
  <c r="H344" i="4"/>
  <c r="G344" i="4"/>
  <c r="E344" i="4"/>
  <c r="D344" i="4"/>
  <c r="C344" i="4"/>
  <c r="B344" i="4"/>
  <c r="I343" i="4"/>
  <c r="H343" i="4"/>
  <c r="G343" i="4"/>
  <c r="E343" i="4"/>
  <c r="D343" i="4"/>
  <c r="C343" i="4"/>
  <c r="B343" i="4"/>
  <c r="I342" i="4"/>
  <c r="H342" i="4"/>
  <c r="G342" i="4"/>
  <c r="E342" i="4"/>
  <c r="D342" i="4"/>
  <c r="C342" i="4"/>
  <c r="B342" i="4"/>
  <c r="I341" i="4"/>
  <c r="H341" i="4"/>
  <c r="G341" i="4"/>
  <c r="E341" i="4"/>
  <c r="D341" i="4"/>
  <c r="C341" i="4"/>
  <c r="B341" i="4"/>
  <c r="I340" i="4"/>
  <c r="H340" i="4"/>
  <c r="G340" i="4"/>
  <c r="E340" i="4"/>
  <c r="D340" i="4"/>
  <c r="C340" i="4"/>
  <c r="B340" i="4"/>
  <c r="I339" i="4"/>
  <c r="H339" i="4"/>
  <c r="G339" i="4"/>
  <c r="E339" i="4"/>
  <c r="D339" i="4"/>
  <c r="C339" i="4"/>
  <c r="B339" i="4"/>
  <c r="I338" i="4"/>
  <c r="H338" i="4"/>
  <c r="G338" i="4"/>
  <c r="E338" i="4"/>
  <c r="D338" i="4"/>
  <c r="C338" i="4"/>
  <c r="B338" i="4"/>
  <c r="I337" i="4"/>
  <c r="H337" i="4"/>
  <c r="G337" i="4"/>
  <c r="E337" i="4"/>
  <c r="D337" i="4"/>
  <c r="C337" i="4"/>
  <c r="B337" i="4"/>
  <c r="I336" i="4"/>
  <c r="H336" i="4"/>
  <c r="G336" i="4"/>
  <c r="E336" i="4"/>
  <c r="D336" i="4"/>
  <c r="C336" i="4"/>
  <c r="B336" i="4"/>
  <c r="I335" i="4"/>
  <c r="H335" i="4"/>
  <c r="G335" i="4"/>
  <c r="E335" i="4"/>
  <c r="D335" i="4"/>
  <c r="C335" i="4"/>
  <c r="B335" i="4"/>
  <c r="I326" i="4"/>
  <c r="H326" i="4"/>
  <c r="G326" i="4"/>
  <c r="E326" i="4"/>
  <c r="D326" i="4"/>
  <c r="C326" i="4"/>
  <c r="B326" i="4"/>
  <c r="I325" i="4"/>
  <c r="H325" i="4"/>
  <c r="G325" i="4"/>
  <c r="E325" i="4"/>
  <c r="D325" i="4"/>
  <c r="C325" i="4"/>
  <c r="B325" i="4"/>
  <c r="I324" i="4"/>
  <c r="H324" i="4"/>
  <c r="G324" i="4"/>
  <c r="E324" i="4"/>
  <c r="D324" i="4"/>
  <c r="C324" i="4"/>
  <c r="B324" i="4"/>
  <c r="I323" i="4"/>
  <c r="H323" i="4"/>
  <c r="G323" i="4"/>
  <c r="E323" i="4"/>
  <c r="D323" i="4"/>
  <c r="C323" i="4"/>
  <c r="B323" i="4"/>
  <c r="I322" i="4"/>
  <c r="H322" i="4"/>
  <c r="G322" i="4"/>
  <c r="E322" i="4"/>
  <c r="D322" i="4"/>
  <c r="C322" i="4"/>
  <c r="B322" i="4"/>
  <c r="I321" i="4"/>
  <c r="H321" i="4"/>
  <c r="G321" i="4"/>
  <c r="E321" i="4"/>
  <c r="D321" i="4"/>
  <c r="C321" i="4"/>
  <c r="B321" i="4"/>
  <c r="I320" i="4"/>
  <c r="H320" i="4"/>
  <c r="G320" i="4"/>
  <c r="E320" i="4"/>
  <c r="D320" i="4"/>
  <c r="C320" i="4"/>
  <c r="B320" i="4"/>
  <c r="I319" i="4"/>
  <c r="H319" i="4"/>
  <c r="G319" i="4"/>
  <c r="E319" i="4"/>
  <c r="D319" i="4"/>
  <c r="C319" i="4"/>
  <c r="B319" i="4"/>
  <c r="I318" i="4"/>
  <c r="H318" i="4"/>
  <c r="G318" i="4"/>
  <c r="E318" i="4"/>
  <c r="D318" i="4"/>
  <c r="C318" i="4"/>
  <c r="B318" i="4"/>
  <c r="I317" i="4"/>
  <c r="H317" i="4"/>
  <c r="G317" i="4"/>
  <c r="E317" i="4"/>
  <c r="D317" i="4"/>
  <c r="C317" i="4"/>
  <c r="B317" i="4"/>
  <c r="I316" i="4"/>
  <c r="H316" i="4"/>
  <c r="G316" i="4"/>
  <c r="E316" i="4"/>
  <c r="D316" i="4"/>
  <c r="C316" i="4"/>
  <c r="B316" i="4"/>
  <c r="I315" i="4"/>
  <c r="H315" i="4"/>
  <c r="G315" i="4"/>
  <c r="E315" i="4"/>
  <c r="D315" i="4"/>
  <c r="C315" i="4"/>
  <c r="B315" i="4"/>
  <c r="I314" i="4"/>
  <c r="H314" i="4"/>
  <c r="G314" i="4"/>
  <c r="E314" i="4"/>
  <c r="D314" i="4"/>
  <c r="C314" i="4"/>
  <c r="B314" i="4"/>
  <c r="I306" i="4"/>
  <c r="H306" i="4"/>
  <c r="G306" i="4"/>
  <c r="E306" i="4"/>
  <c r="D306" i="4"/>
  <c r="C306" i="4"/>
  <c r="B306" i="4"/>
  <c r="I305" i="4"/>
  <c r="H305" i="4"/>
  <c r="G305" i="4"/>
  <c r="E305" i="4"/>
  <c r="D305" i="4"/>
  <c r="C305" i="4"/>
  <c r="B305" i="4"/>
  <c r="I304" i="4"/>
  <c r="H304" i="4"/>
  <c r="G304" i="4"/>
  <c r="E304" i="4"/>
  <c r="D304" i="4"/>
  <c r="C304" i="4"/>
  <c r="B304" i="4"/>
  <c r="I10" i="4"/>
  <c r="H10" i="4"/>
  <c r="G10" i="4"/>
  <c r="E10" i="4"/>
  <c r="D10" i="4"/>
  <c r="C10" i="4"/>
  <c r="B10" i="4"/>
  <c r="I303" i="4"/>
  <c r="H303" i="4"/>
  <c r="G303" i="4"/>
  <c r="E303" i="4"/>
  <c r="D303" i="4"/>
  <c r="C303" i="4"/>
  <c r="B303" i="4"/>
  <c r="I302" i="4"/>
  <c r="H302" i="4"/>
  <c r="G302" i="4"/>
  <c r="E302" i="4"/>
  <c r="D302" i="4"/>
  <c r="C302" i="4"/>
  <c r="B302" i="4"/>
  <c r="I301" i="4"/>
  <c r="H301" i="4"/>
  <c r="G301" i="4"/>
  <c r="E301" i="4"/>
  <c r="D301" i="4"/>
  <c r="C301" i="4"/>
  <c r="B301" i="4"/>
  <c r="I300" i="4"/>
  <c r="H300" i="4"/>
  <c r="G300" i="4"/>
  <c r="E300" i="4"/>
  <c r="D300" i="4"/>
  <c r="C300" i="4"/>
  <c r="B300" i="4"/>
  <c r="I299" i="4"/>
  <c r="H299" i="4"/>
  <c r="G299" i="4"/>
  <c r="E299" i="4"/>
  <c r="D299" i="4"/>
  <c r="C299" i="4"/>
  <c r="B299" i="4"/>
  <c r="I296" i="4"/>
  <c r="H296" i="4"/>
  <c r="G296" i="4"/>
  <c r="E296" i="4"/>
  <c r="D296" i="4"/>
  <c r="C296" i="4"/>
  <c r="B296" i="4"/>
  <c r="I294" i="4"/>
  <c r="H294" i="4"/>
  <c r="G294" i="4"/>
  <c r="E294" i="4"/>
  <c r="D294" i="4"/>
  <c r="C294" i="4"/>
  <c r="B294" i="4"/>
  <c r="I293" i="4"/>
  <c r="H293" i="4"/>
  <c r="G293" i="4"/>
  <c r="E293" i="4"/>
  <c r="D293" i="4"/>
  <c r="C293" i="4"/>
  <c r="B293" i="4"/>
  <c r="I292" i="4"/>
  <c r="H292" i="4"/>
  <c r="G292" i="4"/>
  <c r="E292" i="4"/>
  <c r="D292" i="4"/>
  <c r="C292" i="4"/>
  <c r="B292" i="4"/>
  <c r="I291" i="4"/>
  <c r="H291" i="4"/>
  <c r="G291" i="4"/>
  <c r="E291" i="4"/>
  <c r="D291" i="4"/>
  <c r="C291" i="4"/>
  <c r="B291" i="4"/>
  <c r="I290" i="4"/>
  <c r="H290" i="4"/>
  <c r="G290" i="4"/>
  <c r="E290" i="4"/>
  <c r="D290" i="4"/>
  <c r="C290" i="4"/>
  <c r="B290" i="4"/>
  <c r="I289" i="4"/>
  <c r="H289" i="4"/>
  <c r="G289" i="4"/>
  <c r="E289" i="4"/>
  <c r="D289" i="4"/>
  <c r="C289" i="4"/>
  <c r="B289" i="4"/>
  <c r="I288" i="4"/>
  <c r="H288" i="4"/>
  <c r="G288" i="4"/>
  <c r="E288" i="4"/>
  <c r="D288" i="4"/>
  <c r="C288" i="4"/>
  <c r="B288" i="4"/>
  <c r="I287" i="4"/>
  <c r="H287" i="4"/>
  <c r="G287" i="4"/>
  <c r="E287" i="4"/>
  <c r="D287" i="4"/>
  <c r="C287" i="4"/>
  <c r="B287" i="4"/>
  <c r="I286" i="4"/>
  <c r="H286" i="4"/>
  <c r="G286" i="4"/>
  <c r="E286" i="4"/>
  <c r="D286" i="4"/>
  <c r="C286" i="4"/>
  <c r="B286" i="4"/>
  <c r="I285" i="4"/>
  <c r="H285" i="4"/>
  <c r="G285" i="4"/>
  <c r="E285" i="4"/>
  <c r="D285" i="4"/>
  <c r="C285" i="4"/>
  <c r="B285" i="4"/>
  <c r="I284" i="4"/>
  <c r="H284" i="4"/>
  <c r="G284" i="4"/>
  <c r="E284" i="4"/>
  <c r="D284" i="4"/>
  <c r="C284" i="4"/>
  <c r="B284" i="4"/>
  <c r="I283" i="4"/>
  <c r="H283" i="4"/>
  <c r="G283" i="4"/>
  <c r="E283" i="4"/>
  <c r="D283" i="4"/>
  <c r="C283" i="4"/>
  <c r="B283" i="4"/>
  <c r="I282" i="4"/>
  <c r="H282" i="4"/>
  <c r="G282" i="4"/>
  <c r="E282" i="4"/>
  <c r="D282" i="4"/>
  <c r="C282" i="4"/>
  <c r="B282" i="4"/>
  <c r="I281" i="4"/>
  <c r="H281" i="4"/>
  <c r="G281" i="4"/>
  <c r="E281" i="4"/>
  <c r="D281" i="4"/>
  <c r="C281" i="4"/>
  <c r="B281" i="4"/>
  <c r="I280" i="4"/>
  <c r="H280" i="4"/>
  <c r="G280" i="4"/>
  <c r="E280" i="4"/>
  <c r="D280" i="4"/>
  <c r="C280" i="4"/>
  <c r="B280" i="4"/>
  <c r="I279" i="4"/>
  <c r="H279" i="4"/>
  <c r="G279" i="4"/>
  <c r="E279" i="4"/>
  <c r="D279" i="4"/>
  <c r="C279" i="4"/>
  <c r="B279" i="4"/>
  <c r="I278" i="4"/>
  <c r="H278" i="4"/>
  <c r="G278" i="4"/>
  <c r="E278" i="4"/>
  <c r="D278" i="4"/>
  <c r="C278" i="4"/>
  <c r="B278" i="4"/>
  <c r="I277" i="4"/>
  <c r="H277" i="4"/>
  <c r="G277" i="4"/>
  <c r="E277" i="4"/>
  <c r="D277" i="4"/>
  <c r="C277" i="4"/>
  <c r="B277" i="4"/>
  <c r="I276" i="4"/>
  <c r="H276" i="4"/>
  <c r="G276" i="4"/>
  <c r="E276" i="4"/>
  <c r="D276" i="4"/>
  <c r="C276" i="4"/>
  <c r="B276" i="4"/>
  <c r="I275" i="4"/>
  <c r="H275" i="4"/>
  <c r="G275" i="4"/>
  <c r="E275" i="4"/>
  <c r="D275" i="4"/>
  <c r="C275" i="4"/>
  <c r="B275" i="4"/>
  <c r="I274" i="4"/>
  <c r="H274" i="4"/>
  <c r="G274" i="4"/>
  <c r="E274" i="4"/>
  <c r="D274" i="4"/>
  <c r="C274" i="4"/>
  <c r="B274" i="4"/>
  <c r="I257" i="4"/>
  <c r="H257" i="4"/>
  <c r="G257" i="4"/>
  <c r="E257" i="4"/>
  <c r="D257" i="4"/>
  <c r="C257" i="4"/>
  <c r="B257" i="4"/>
  <c r="I256" i="4"/>
  <c r="H256" i="4"/>
  <c r="G256" i="4"/>
  <c r="E256" i="4"/>
  <c r="D256" i="4"/>
  <c r="C256" i="4"/>
  <c r="B256" i="4"/>
  <c r="I255" i="4"/>
  <c r="H255" i="4"/>
  <c r="G255" i="4"/>
  <c r="E255" i="4"/>
  <c r="D255" i="4"/>
  <c r="C255" i="4"/>
  <c r="B255" i="4"/>
  <c r="I254" i="4"/>
  <c r="H254" i="4"/>
  <c r="G254" i="4"/>
  <c r="E254" i="4"/>
  <c r="D254" i="4"/>
  <c r="C254" i="4"/>
  <c r="B254" i="4"/>
  <c r="I253" i="4"/>
  <c r="H253" i="4"/>
  <c r="G253" i="4"/>
  <c r="E253" i="4"/>
  <c r="D253" i="4"/>
  <c r="C253" i="4"/>
  <c r="B253" i="4"/>
  <c r="I252" i="4"/>
  <c r="H252" i="4"/>
  <c r="G252" i="4"/>
  <c r="E252" i="4"/>
  <c r="D252" i="4"/>
  <c r="C252" i="4"/>
  <c r="B252" i="4"/>
  <c r="I251" i="4"/>
  <c r="H251" i="4"/>
  <c r="G251" i="4"/>
  <c r="E251" i="4"/>
  <c r="D251" i="4"/>
  <c r="C251" i="4"/>
  <c r="B251" i="4"/>
  <c r="I250" i="4"/>
  <c r="H250" i="4"/>
  <c r="G250" i="4"/>
  <c r="E250" i="4"/>
  <c r="D250" i="4"/>
  <c r="C250" i="4"/>
  <c r="B250" i="4"/>
  <c r="I249" i="4"/>
  <c r="H249" i="4"/>
  <c r="G249" i="4"/>
  <c r="E249" i="4"/>
  <c r="D249" i="4"/>
  <c r="C249" i="4"/>
  <c r="B249" i="4"/>
  <c r="I248" i="4"/>
  <c r="H248" i="4"/>
  <c r="G248" i="4"/>
  <c r="E248" i="4"/>
  <c r="D248" i="4"/>
  <c r="C248" i="4"/>
  <c r="B248" i="4"/>
  <c r="I247" i="4"/>
  <c r="H247" i="4"/>
  <c r="G247" i="4"/>
  <c r="E247" i="4"/>
  <c r="D247" i="4"/>
  <c r="C247" i="4"/>
  <c r="B247" i="4"/>
  <c r="I234" i="4"/>
  <c r="H234" i="4"/>
  <c r="G234" i="4"/>
  <c r="E234" i="4"/>
  <c r="D234" i="4"/>
  <c r="C234" i="4"/>
  <c r="B234" i="4"/>
  <c r="I233" i="4"/>
  <c r="H233" i="4"/>
  <c r="G233" i="4"/>
  <c r="E233" i="4"/>
  <c r="D233" i="4"/>
  <c r="C233" i="4"/>
  <c r="B233" i="4"/>
  <c r="I232" i="4"/>
  <c r="H232" i="4"/>
  <c r="G232" i="4"/>
  <c r="E232" i="4"/>
  <c r="D232" i="4"/>
  <c r="C232" i="4"/>
  <c r="B232" i="4"/>
  <c r="I231" i="4"/>
  <c r="H231" i="4"/>
  <c r="G231" i="4"/>
  <c r="E231" i="4"/>
  <c r="D231" i="4"/>
  <c r="C231" i="4"/>
  <c r="B231" i="4"/>
  <c r="I230" i="4"/>
  <c r="H230" i="4"/>
  <c r="G230" i="4"/>
  <c r="E230" i="4"/>
  <c r="D230" i="4"/>
  <c r="C230" i="4"/>
  <c r="B230" i="4"/>
  <c r="I229" i="4"/>
  <c r="H229" i="4"/>
  <c r="G229" i="4"/>
  <c r="E229" i="4"/>
  <c r="D229" i="4"/>
  <c r="C229" i="4"/>
  <c r="B229" i="4"/>
  <c r="I228" i="4"/>
  <c r="H228" i="4"/>
  <c r="G228" i="4"/>
  <c r="E228" i="4"/>
  <c r="D228" i="4"/>
  <c r="C228" i="4"/>
  <c r="B228" i="4"/>
  <c r="I227" i="4"/>
  <c r="H227" i="4"/>
  <c r="G227" i="4"/>
  <c r="E227" i="4"/>
  <c r="D227" i="4"/>
  <c r="C227" i="4"/>
  <c r="B227" i="4"/>
  <c r="I226" i="4"/>
  <c r="H226" i="4"/>
  <c r="G226" i="4"/>
  <c r="E226" i="4"/>
  <c r="D226" i="4"/>
  <c r="C226" i="4"/>
  <c r="B226" i="4"/>
  <c r="I225" i="4"/>
  <c r="H225" i="4"/>
  <c r="G225" i="4"/>
  <c r="E225" i="4"/>
  <c r="D225" i="4"/>
  <c r="C225" i="4"/>
  <c r="B225" i="4"/>
  <c r="I224" i="4"/>
  <c r="H224" i="4"/>
  <c r="G224" i="4"/>
  <c r="E224" i="4"/>
  <c r="D224" i="4"/>
  <c r="C224" i="4"/>
  <c r="B224" i="4"/>
  <c r="I223" i="4"/>
  <c r="H223" i="4"/>
  <c r="G223" i="4"/>
  <c r="E223" i="4"/>
  <c r="D223" i="4"/>
  <c r="C223" i="4"/>
  <c r="B223" i="4"/>
  <c r="I222" i="4"/>
  <c r="H222" i="4"/>
  <c r="G222" i="4"/>
  <c r="E222" i="4"/>
  <c r="D222" i="4"/>
  <c r="C222" i="4"/>
  <c r="B222" i="4"/>
  <c r="I213" i="4"/>
  <c r="H213" i="4"/>
  <c r="G213" i="4"/>
  <c r="E213" i="4"/>
  <c r="D213" i="4"/>
  <c r="C213" i="4"/>
  <c r="B213" i="4"/>
  <c r="I212" i="4"/>
  <c r="H212" i="4"/>
  <c r="G212" i="4"/>
  <c r="E212" i="4"/>
  <c r="D212" i="4"/>
  <c r="C212" i="4"/>
  <c r="B212" i="4"/>
  <c r="I211" i="4"/>
  <c r="H211" i="4"/>
  <c r="G211" i="4"/>
  <c r="E211" i="4"/>
  <c r="D211" i="4"/>
  <c r="C211" i="4"/>
  <c r="B211" i="4"/>
  <c r="I210" i="4"/>
  <c r="H210" i="4"/>
  <c r="G210" i="4"/>
  <c r="E210" i="4"/>
  <c r="D210" i="4"/>
  <c r="C210" i="4"/>
  <c r="B210" i="4"/>
  <c r="I209" i="4"/>
  <c r="H209" i="4"/>
  <c r="G209" i="4"/>
  <c r="E209" i="4"/>
  <c r="D209" i="4"/>
  <c r="C209" i="4"/>
  <c r="B209" i="4"/>
  <c r="I208" i="4"/>
  <c r="H208" i="4"/>
  <c r="G208" i="4"/>
  <c r="E208" i="4"/>
  <c r="D208" i="4"/>
  <c r="C208" i="4"/>
  <c r="B208" i="4"/>
  <c r="I207" i="4"/>
  <c r="H207" i="4"/>
  <c r="G207" i="4"/>
  <c r="E207" i="4"/>
  <c r="D207" i="4"/>
  <c r="C207" i="4"/>
  <c r="B207" i="4"/>
  <c r="I206" i="4"/>
  <c r="H206" i="4"/>
  <c r="G206" i="4"/>
  <c r="E206" i="4"/>
  <c r="D206" i="4"/>
  <c r="C206" i="4"/>
  <c r="B206" i="4"/>
  <c r="I201" i="4"/>
  <c r="H201" i="4"/>
  <c r="G201" i="4"/>
  <c r="E201" i="4"/>
  <c r="D201" i="4"/>
  <c r="C201" i="4"/>
  <c r="B201" i="4"/>
  <c r="I200" i="4"/>
  <c r="H200" i="4"/>
  <c r="G200" i="4"/>
  <c r="E200" i="4"/>
  <c r="D200" i="4"/>
  <c r="C200" i="4"/>
  <c r="B200" i="4"/>
  <c r="I199" i="4"/>
  <c r="H199" i="4"/>
  <c r="G199" i="4"/>
  <c r="E199" i="4"/>
  <c r="D199" i="4"/>
  <c r="C199" i="4"/>
  <c r="B199" i="4"/>
  <c r="I198" i="4"/>
  <c r="H198" i="4"/>
  <c r="G198" i="4"/>
  <c r="E198" i="4"/>
  <c r="D198" i="4"/>
  <c r="C198" i="4"/>
  <c r="B198" i="4"/>
  <c r="I197" i="4"/>
  <c r="H197" i="4"/>
  <c r="G197" i="4"/>
  <c r="E197" i="4"/>
  <c r="D197" i="4"/>
  <c r="C197" i="4"/>
  <c r="B197" i="4"/>
  <c r="I196" i="4"/>
  <c r="H196" i="4"/>
  <c r="G196" i="4"/>
  <c r="E196" i="4"/>
  <c r="D196" i="4"/>
  <c r="C196" i="4"/>
  <c r="B196" i="4"/>
  <c r="I195" i="4"/>
  <c r="H195" i="4"/>
  <c r="G195" i="4"/>
  <c r="E195" i="4"/>
  <c r="D195" i="4"/>
  <c r="C195" i="4"/>
  <c r="B195" i="4"/>
  <c r="I194" i="4"/>
  <c r="H194" i="4"/>
  <c r="G194" i="4"/>
  <c r="E194" i="4"/>
  <c r="D194" i="4"/>
  <c r="C194" i="4"/>
  <c r="B194" i="4"/>
  <c r="I193" i="4"/>
  <c r="H193" i="4"/>
  <c r="G193" i="4"/>
  <c r="E193" i="4"/>
  <c r="D193" i="4"/>
  <c r="C193" i="4"/>
  <c r="B193" i="4"/>
  <c r="I192" i="4"/>
  <c r="H192" i="4"/>
  <c r="G192" i="4"/>
  <c r="E192" i="4"/>
  <c r="D192" i="4"/>
  <c r="C192" i="4"/>
  <c r="B192" i="4"/>
  <c r="I191" i="4"/>
  <c r="H191" i="4"/>
  <c r="G191" i="4"/>
  <c r="E191" i="4"/>
  <c r="D191" i="4"/>
  <c r="C191" i="4"/>
  <c r="B191" i="4"/>
  <c r="I190" i="4"/>
  <c r="H190" i="4"/>
  <c r="G190" i="4"/>
  <c r="E190" i="4"/>
  <c r="D190" i="4"/>
  <c r="C190" i="4"/>
  <c r="B190" i="4"/>
  <c r="I186" i="4"/>
  <c r="H186" i="4"/>
  <c r="G186" i="4"/>
  <c r="E186" i="4"/>
  <c r="D186" i="4"/>
  <c r="C186" i="4"/>
  <c r="B186" i="4"/>
  <c r="I185" i="4"/>
  <c r="H185" i="4"/>
  <c r="G185" i="4"/>
  <c r="E185" i="4"/>
  <c r="D185" i="4"/>
  <c r="C185" i="4"/>
  <c r="B185" i="4"/>
  <c r="I184" i="4"/>
  <c r="H184" i="4"/>
  <c r="G184" i="4"/>
  <c r="E184" i="4"/>
  <c r="D184" i="4"/>
  <c r="C184" i="4"/>
  <c r="B184" i="4"/>
  <c r="I183" i="4"/>
  <c r="H183" i="4"/>
  <c r="G183" i="4"/>
  <c r="E183" i="4"/>
  <c r="D183" i="4"/>
  <c r="C183" i="4"/>
  <c r="B183" i="4"/>
  <c r="I182" i="4"/>
  <c r="H182" i="4"/>
  <c r="G182" i="4"/>
  <c r="E182" i="4"/>
  <c r="D182" i="4"/>
  <c r="C182" i="4"/>
  <c r="B182" i="4"/>
  <c r="I181" i="4"/>
  <c r="H181" i="4"/>
  <c r="G181" i="4"/>
  <c r="E181" i="4"/>
  <c r="D181" i="4"/>
  <c r="C181" i="4"/>
  <c r="B181" i="4"/>
  <c r="I180" i="4"/>
  <c r="H180" i="4"/>
  <c r="G180" i="4"/>
  <c r="E180" i="4"/>
  <c r="D180" i="4"/>
  <c r="C180" i="4"/>
  <c r="B180" i="4"/>
  <c r="I179" i="4"/>
  <c r="H179" i="4"/>
  <c r="G179" i="4"/>
  <c r="E179" i="4"/>
  <c r="D179" i="4"/>
  <c r="C179" i="4"/>
  <c r="B179" i="4"/>
  <c r="I178" i="4"/>
  <c r="H178" i="4"/>
  <c r="G178" i="4"/>
  <c r="E178" i="4"/>
  <c r="D178" i="4"/>
  <c r="C178" i="4"/>
  <c r="B178" i="4"/>
  <c r="I177" i="4"/>
  <c r="H177" i="4"/>
  <c r="G177" i="4"/>
  <c r="E177" i="4"/>
  <c r="D177" i="4"/>
  <c r="C177" i="4"/>
  <c r="B177" i="4"/>
  <c r="I174" i="4"/>
  <c r="H174" i="4"/>
  <c r="G174" i="4"/>
  <c r="E174" i="4"/>
  <c r="D174" i="4"/>
  <c r="C174" i="4"/>
  <c r="B174" i="4"/>
  <c r="I173" i="4"/>
  <c r="H173" i="4"/>
  <c r="G173" i="4"/>
  <c r="E173" i="4"/>
  <c r="D173" i="4"/>
  <c r="C173" i="4"/>
  <c r="B173" i="4"/>
  <c r="I172" i="4"/>
  <c r="H172" i="4"/>
  <c r="G172" i="4"/>
  <c r="E172" i="4"/>
  <c r="D172" i="4"/>
  <c r="C172" i="4"/>
  <c r="B172" i="4"/>
  <c r="I171" i="4"/>
  <c r="H171" i="4"/>
  <c r="G171" i="4"/>
  <c r="E171" i="4"/>
  <c r="D171" i="4"/>
  <c r="C171" i="4"/>
  <c r="B171" i="4"/>
  <c r="I170" i="4"/>
  <c r="H170" i="4"/>
  <c r="G170" i="4"/>
  <c r="E170" i="4"/>
  <c r="D170" i="4"/>
  <c r="C170" i="4"/>
  <c r="B170" i="4"/>
  <c r="I169" i="4"/>
  <c r="H169" i="4"/>
  <c r="G169" i="4"/>
  <c r="E169" i="4"/>
  <c r="D169" i="4"/>
  <c r="C169" i="4"/>
  <c r="B169" i="4"/>
  <c r="I168" i="4"/>
  <c r="H168" i="4"/>
  <c r="G168" i="4"/>
  <c r="E168" i="4"/>
  <c r="D168" i="4"/>
  <c r="C168" i="4"/>
  <c r="B168" i="4"/>
  <c r="I167" i="4"/>
  <c r="H167" i="4"/>
  <c r="G167" i="4"/>
  <c r="E167" i="4"/>
  <c r="D167" i="4"/>
  <c r="C167" i="4"/>
  <c r="B167" i="4"/>
  <c r="I166" i="4"/>
  <c r="H166" i="4"/>
  <c r="G166" i="4"/>
  <c r="E166" i="4"/>
  <c r="D166" i="4"/>
  <c r="C166" i="4"/>
  <c r="B166" i="4"/>
  <c r="I165" i="4"/>
  <c r="H165" i="4"/>
  <c r="G165" i="4"/>
  <c r="E165" i="4"/>
  <c r="D165" i="4"/>
  <c r="C165" i="4"/>
  <c r="B165" i="4"/>
  <c r="I164" i="4"/>
  <c r="H164" i="4"/>
  <c r="G164" i="4"/>
  <c r="E164" i="4"/>
  <c r="D164" i="4"/>
  <c r="C164" i="4"/>
  <c r="B164" i="4"/>
  <c r="I163" i="4"/>
  <c r="H163" i="4"/>
  <c r="G163" i="4"/>
  <c r="E163" i="4"/>
  <c r="D163" i="4"/>
  <c r="C163" i="4"/>
  <c r="B163" i="4"/>
  <c r="I162" i="4"/>
  <c r="H162" i="4"/>
  <c r="G162" i="4"/>
  <c r="E162" i="4"/>
  <c r="D162" i="4"/>
  <c r="C162" i="4"/>
  <c r="B162" i="4"/>
  <c r="I161" i="4"/>
  <c r="H161" i="4"/>
  <c r="G161" i="4"/>
  <c r="E161" i="4"/>
  <c r="D161" i="4"/>
  <c r="C161" i="4"/>
  <c r="B161" i="4"/>
  <c r="I160" i="4"/>
  <c r="H160" i="4"/>
  <c r="G160" i="4"/>
  <c r="E160" i="4"/>
  <c r="D160" i="4"/>
  <c r="C160" i="4"/>
  <c r="B160" i="4"/>
  <c r="I159" i="4"/>
  <c r="H159" i="4"/>
  <c r="G159" i="4"/>
  <c r="E159" i="4"/>
  <c r="D159" i="4"/>
  <c r="C159" i="4"/>
  <c r="B159" i="4"/>
  <c r="I158" i="4"/>
  <c r="H158" i="4"/>
  <c r="G158" i="4"/>
  <c r="E158" i="4"/>
  <c r="D158" i="4"/>
  <c r="C158" i="4"/>
  <c r="B158" i="4"/>
  <c r="I157" i="4"/>
  <c r="H157" i="4"/>
  <c r="G157" i="4"/>
  <c r="E157" i="4"/>
  <c r="D157" i="4"/>
  <c r="C157" i="4"/>
  <c r="B157" i="4"/>
  <c r="I156" i="4"/>
  <c r="H156" i="4"/>
  <c r="G156" i="4"/>
  <c r="E156" i="4"/>
  <c r="D156" i="4"/>
  <c r="C156" i="4"/>
  <c r="B156" i="4"/>
  <c r="I149" i="4"/>
  <c r="H149" i="4"/>
  <c r="G149" i="4"/>
  <c r="E149" i="4"/>
  <c r="D149" i="4"/>
  <c r="C149" i="4"/>
  <c r="B149" i="4"/>
  <c r="I148" i="4"/>
  <c r="H148" i="4"/>
  <c r="G148" i="4"/>
  <c r="E148" i="4"/>
  <c r="D148" i="4"/>
  <c r="C148" i="4"/>
  <c r="B148" i="4"/>
  <c r="I147" i="4"/>
  <c r="H147" i="4"/>
  <c r="G147" i="4"/>
  <c r="E147" i="4"/>
  <c r="D147" i="4"/>
  <c r="C147" i="4"/>
  <c r="B147" i="4"/>
  <c r="I146" i="4"/>
  <c r="H146" i="4"/>
  <c r="G146" i="4"/>
  <c r="E146" i="4"/>
  <c r="D146" i="4"/>
  <c r="C146" i="4"/>
  <c r="B146" i="4"/>
  <c r="I145" i="4"/>
  <c r="H145" i="4"/>
  <c r="G145" i="4"/>
  <c r="E145" i="4"/>
  <c r="D145" i="4"/>
  <c r="C145" i="4"/>
  <c r="B145" i="4"/>
  <c r="I144" i="4"/>
  <c r="H144" i="4"/>
  <c r="G144" i="4"/>
  <c r="E144" i="4"/>
  <c r="D144" i="4"/>
  <c r="C144" i="4"/>
  <c r="B144" i="4"/>
  <c r="I143" i="4"/>
  <c r="H143" i="4"/>
  <c r="G143" i="4"/>
  <c r="E143" i="4"/>
  <c r="D143" i="4"/>
  <c r="C143" i="4"/>
  <c r="B143" i="4"/>
  <c r="I142" i="4"/>
  <c r="H142" i="4"/>
  <c r="G142" i="4"/>
  <c r="E142" i="4"/>
  <c r="D142" i="4"/>
  <c r="C142" i="4"/>
  <c r="B142" i="4"/>
  <c r="I141" i="4"/>
  <c r="H141" i="4"/>
  <c r="G141" i="4"/>
  <c r="E141" i="4"/>
  <c r="D141" i="4"/>
  <c r="C141" i="4"/>
  <c r="B141" i="4"/>
  <c r="I140" i="4"/>
  <c r="H140" i="4"/>
  <c r="G140" i="4"/>
  <c r="E140" i="4"/>
  <c r="D140" i="4"/>
  <c r="C140" i="4"/>
  <c r="B140" i="4"/>
  <c r="I139" i="4"/>
  <c r="H139" i="4"/>
  <c r="G139" i="4"/>
  <c r="E139" i="4"/>
  <c r="D139" i="4"/>
  <c r="C139" i="4"/>
  <c r="B139" i="4"/>
  <c r="I138" i="4"/>
  <c r="H138" i="4"/>
  <c r="G138" i="4"/>
  <c r="E138" i="4"/>
  <c r="D138" i="4"/>
  <c r="C138" i="4"/>
  <c r="B138" i="4"/>
  <c r="I137" i="4"/>
  <c r="H137" i="4"/>
  <c r="G137" i="4"/>
  <c r="E137" i="4"/>
  <c r="D137" i="4"/>
  <c r="C137" i="4"/>
  <c r="B137" i="4"/>
  <c r="I112" i="4"/>
  <c r="H112" i="4"/>
  <c r="G112" i="4"/>
  <c r="E112" i="4"/>
  <c r="D112" i="4"/>
  <c r="C112" i="4"/>
  <c r="B112" i="4"/>
  <c r="I111" i="4"/>
  <c r="H111" i="4"/>
  <c r="G111" i="4"/>
  <c r="E111" i="4"/>
  <c r="D111" i="4"/>
  <c r="C111" i="4"/>
  <c r="B111" i="4"/>
  <c r="I110" i="4"/>
  <c r="H110" i="4"/>
  <c r="G110" i="4"/>
  <c r="E110" i="4"/>
  <c r="D110" i="4"/>
  <c r="C110" i="4"/>
  <c r="B110" i="4"/>
  <c r="I109" i="4"/>
  <c r="H109" i="4"/>
  <c r="G109" i="4"/>
  <c r="E109" i="4"/>
  <c r="D109" i="4"/>
  <c r="C109" i="4"/>
  <c r="B109" i="4"/>
  <c r="I108" i="4"/>
  <c r="H108" i="4"/>
  <c r="G108" i="4"/>
  <c r="E108" i="4"/>
  <c r="D108" i="4"/>
  <c r="C108" i="4"/>
  <c r="B108" i="4"/>
  <c r="I107" i="4"/>
  <c r="H107" i="4"/>
  <c r="G107" i="4"/>
  <c r="E107" i="4"/>
  <c r="D107" i="4"/>
  <c r="C107" i="4"/>
  <c r="B107" i="4"/>
  <c r="I106" i="4"/>
  <c r="H106" i="4"/>
  <c r="G106" i="4"/>
  <c r="E106" i="4"/>
  <c r="D106" i="4"/>
  <c r="C106" i="4"/>
  <c r="B106" i="4"/>
  <c r="I105" i="4"/>
  <c r="H105" i="4"/>
  <c r="G105" i="4"/>
  <c r="E105" i="4"/>
  <c r="D105" i="4"/>
  <c r="C105" i="4"/>
  <c r="B105" i="4"/>
  <c r="I104" i="4"/>
  <c r="H104" i="4"/>
  <c r="G104" i="4"/>
  <c r="E104" i="4"/>
  <c r="D104" i="4"/>
  <c r="C104" i="4"/>
  <c r="B104" i="4"/>
  <c r="I103" i="4"/>
  <c r="H103" i="4"/>
  <c r="G103" i="4"/>
  <c r="E103" i="4"/>
  <c r="D103" i="4"/>
  <c r="C103" i="4"/>
  <c r="B103" i="4"/>
  <c r="I102" i="4"/>
  <c r="H102" i="4"/>
  <c r="G102" i="4"/>
  <c r="E102" i="4"/>
  <c r="D102" i="4"/>
  <c r="C102" i="4"/>
  <c r="B102" i="4"/>
  <c r="I101" i="4"/>
  <c r="H101" i="4"/>
  <c r="G101" i="4"/>
  <c r="E101" i="4"/>
  <c r="D101" i="4"/>
  <c r="C101" i="4"/>
  <c r="B101" i="4"/>
  <c r="I100" i="4"/>
  <c r="H100" i="4"/>
  <c r="G100" i="4"/>
  <c r="E100" i="4"/>
  <c r="D100" i="4"/>
  <c r="C100" i="4"/>
  <c r="B100" i="4"/>
  <c r="I99" i="4"/>
  <c r="H99" i="4"/>
  <c r="G99" i="4"/>
  <c r="E99" i="4"/>
  <c r="D99" i="4"/>
  <c r="C99" i="4"/>
  <c r="B99" i="4"/>
  <c r="I98" i="4"/>
  <c r="H98" i="4"/>
  <c r="G98" i="4"/>
  <c r="E98" i="4"/>
  <c r="D98" i="4"/>
  <c r="C98" i="4"/>
  <c r="B98" i="4"/>
  <c r="I97" i="4"/>
  <c r="H97" i="4"/>
  <c r="G97" i="4"/>
  <c r="E97" i="4"/>
  <c r="D97" i="4"/>
  <c r="C97" i="4"/>
  <c r="B97" i="4"/>
  <c r="I96" i="4"/>
  <c r="H96" i="4"/>
  <c r="G96" i="4"/>
  <c r="E96" i="4"/>
  <c r="D96" i="4"/>
  <c r="C96" i="4"/>
  <c r="B96" i="4"/>
  <c r="I95" i="4"/>
  <c r="H95" i="4"/>
  <c r="G95" i="4"/>
  <c r="E95" i="4"/>
  <c r="D95" i="4"/>
  <c r="C95" i="4"/>
  <c r="B95" i="4"/>
  <c r="I85" i="4"/>
  <c r="H85" i="4"/>
  <c r="G85" i="4"/>
  <c r="E85" i="4"/>
  <c r="D85" i="4"/>
  <c r="C85" i="4"/>
  <c r="B85" i="4"/>
  <c r="I84" i="4"/>
  <c r="H84" i="4"/>
  <c r="G84" i="4"/>
  <c r="E84" i="4"/>
  <c r="D84" i="4"/>
  <c r="C84" i="4"/>
  <c r="B84" i="4"/>
  <c r="I83" i="4"/>
  <c r="H83" i="4"/>
  <c r="G83" i="4"/>
  <c r="E83" i="4"/>
  <c r="D83" i="4"/>
  <c r="C83" i="4"/>
  <c r="B83" i="4"/>
  <c r="I82" i="4"/>
  <c r="H82" i="4"/>
  <c r="G82" i="4"/>
  <c r="E82" i="4"/>
  <c r="D82" i="4"/>
  <c r="C82" i="4"/>
  <c r="B82" i="4"/>
  <c r="I81" i="4"/>
  <c r="H81" i="4"/>
  <c r="G81" i="4"/>
  <c r="E81" i="4"/>
  <c r="D81" i="4"/>
  <c r="C81" i="4"/>
  <c r="B81" i="4"/>
  <c r="I80" i="4"/>
  <c r="H80" i="4"/>
  <c r="G80" i="4"/>
  <c r="E80" i="4"/>
  <c r="D80" i="4"/>
  <c r="C80" i="4"/>
  <c r="B80" i="4"/>
  <c r="I79" i="4"/>
  <c r="H79" i="4"/>
  <c r="G79" i="4"/>
  <c r="E79" i="4"/>
  <c r="D79" i="4"/>
  <c r="C79" i="4"/>
  <c r="B79" i="4"/>
  <c r="I78" i="4"/>
  <c r="H78" i="4"/>
  <c r="G78" i="4"/>
  <c r="E78" i="4"/>
  <c r="D78" i="4"/>
  <c r="C78" i="4"/>
  <c r="B78" i="4"/>
  <c r="I73" i="4"/>
  <c r="H73" i="4"/>
  <c r="G73" i="4"/>
  <c r="E73" i="4"/>
  <c r="D73" i="4"/>
  <c r="C73" i="4"/>
  <c r="B73" i="4"/>
  <c r="I72" i="4"/>
  <c r="H72" i="4"/>
  <c r="G72" i="4"/>
  <c r="E72" i="4"/>
  <c r="D72" i="4"/>
  <c r="C72" i="4"/>
  <c r="B72" i="4"/>
  <c r="I70" i="4"/>
  <c r="H70" i="4"/>
  <c r="G70" i="4"/>
  <c r="E70" i="4"/>
  <c r="D70" i="4"/>
  <c r="C70" i="4"/>
  <c r="B70" i="4"/>
  <c r="I69" i="4"/>
  <c r="H69" i="4"/>
  <c r="G69" i="4"/>
  <c r="E69" i="4"/>
  <c r="D69" i="4"/>
  <c r="C69" i="4"/>
  <c r="B69" i="4"/>
  <c r="I68" i="4"/>
  <c r="H68" i="4"/>
  <c r="G68" i="4"/>
  <c r="E68" i="4"/>
  <c r="D68" i="4"/>
  <c r="C68" i="4"/>
  <c r="B68" i="4"/>
  <c r="I65" i="4"/>
  <c r="H65" i="4"/>
  <c r="G65" i="4"/>
  <c r="E65" i="4"/>
  <c r="D65" i="4"/>
  <c r="C65" i="4"/>
  <c r="B65" i="4"/>
  <c r="I64" i="4"/>
  <c r="H64" i="4"/>
  <c r="G64" i="4"/>
  <c r="E64" i="4"/>
  <c r="D64" i="4"/>
  <c r="C64" i="4"/>
  <c r="B64" i="4"/>
  <c r="I63" i="4"/>
  <c r="H63" i="4"/>
  <c r="G63" i="4"/>
  <c r="E63" i="4"/>
  <c r="D63" i="4"/>
  <c r="C63" i="4"/>
  <c r="B63" i="4"/>
  <c r="I61" i="4"/>
  <c r="H61" i="4"/>
  <c r="G61" i="4"/>
  <c r="E61" i="4"/>
  <c r="D61" i="4"/>
  <c r="C61" i="4"/>
  <c r="B61" i="4"/>
  <c r="I60" i="4"/>
  <c r="H60" i="4"/>
  <c r="G60" i="4"/>
  <c r="E60" i="4"/>
  <c r="D60" i="4"/>
  <c r="C60" i="4"/>
  <c r="B60" i="4"/>
  <c r="I59" i="4"/>
  <c r="H59" i="4"/>
  <c r="G59" i="4"/>
  <c r="E59" i="4"/>
  <c r="D59" i="4"/>
  <c r="C59" i="4"/>
  <c r="B59" i="4"/>
  <c r="I54" i="4"/>
  <c r="H54" i="4"/>
  <c r="G54" i="4"/>
  <c r="E54" i="4"/>
  <c r="D54" i="4"/>
  <c r="C54" i="4"/>
  <c r="B54" i="4"/>
  <c r="I53" i="4"/>
  <c r="H53" i="4"/>
  <c r="G53" i="4"/>
  <c r="E53" i="4"/>
  <c r="D53" i="4"/>
  <c r="C53" i="4"/>
  <c r="B53" i="4"/>
  <c r="I48" i="4"/>
  <c r="H48" i="4"/>
  <c r="G48" i="4"/>
  <c r="E48" i="4"/>
  <c r="D48" i="4"/>
  <c r="C48" i="4"/>
  <c r="B48" i="4"/>
  <c r="I47" i="4"/>
  <c r="H47" i="4"/>
  <c r="G47" i="4"/>
  <c r="E47" i="4"/>
  <c r="D47" i="4"/>
  <c r="C47" i="4"/>
  <c r="B47" i="4"/>
  <c r="I46" i="4"/>
  <c r="H46" i="4"/>
  <c r="G46" i="4"/>
  <c r="E46" i="4"/>
  <c r="D46" i="4"/>
  <c r="C46" i="4"/>
  <c r="B46" i="4"/>
  <c r="I45" i="4"/>
  <c r="H45" i="4"/>
  <c r="G45" i="4"/>
  <c r="E45" i="4"/>
  <c r="D45" i="4"/>
  <c r="C45" i="4"/>
  <c r="B45" i="4"/>
  <c r="I32" i="4"/>
  <c r="H32" i="4"/>
  <c r="G32" i="4"/>
  <c r="E32" i="4"/>
  <c r="D32" i="4"/>
  <c r="C32" i="4"/>
  <c r="B32" i="4"/>
  <c r="I31" i="4"/>
  <c r="H31" i="4"/>
  <c r="G31" i="4"/>
  <c r="E31" i="4"/>
  <c r="D31" i="4"/>
  <c r="C31" i="4"/>
  <c r="B31" i="4"/>
  <c r="I30" i="4"/>
  <c r="H30" i="4"/>
  <c r="G30" i="4"/>
  <c r="E30" i="4"/>
  <c r="D30" i="4"/>
  <c r="C30" i="4"/>
  <c r="B30" i="4"/>
  <c r="I29" i="4"/>
  <c r="H29" i="4"/>
  <c r="G29" i="4"/>
  <c r="E29" i="4"/>
  <c r="D29" i="4"/>
  <c r="C29" i="4"/>
  <c r="B29" i="4"/>
  <c r="I28" i="4"/>
  <c r="H28" i="4"/>
  <c r="G28" i="4"/>
  <c r="E28" i="4"/>
  <c r="D28" i="4"/>
  <c r="C28" i="4"/>
  <c r="B28" i="4"/>
  <c r="I27" i="4"/>
  <c r="H27" i="4"/>
  <c r="G27" i="4"/>
  <c r="E27" i="4"/>
  <c r="D27" i="4"/>
  <c r="C27" i="4"/>
  <c r="B27" i="4"/>
  <c r="I26" i="4"/>
  <c r="H26" i="4"/>
  <c r="G26" i="4"/>
  <c r="E26" i="4"/>
  <c r="D26" i="4"/>
  <c r="C26" i="4"/>
  <c r="B26" i="4"/>
  <c r="I25" i="4"/>
  <c r="H25" i="4"/>
  <c r="G25" i="4"/>
  <c r="E25" i="4"/>
  <c r="D25" i="4"/>
  <c r="C25" i="4"/>
  <c r="B25" i="4"/>
  <c r="I24" i="4"/>
  <c r="H24" i="4"/>
  <c r="G24" i="4"/>
  <c r="E24" i="4"/>
  <c r="D24" i="4"/>
  <c r="C24" i="4"/>
  <c r="B24" i="4"/>
  <c r="I23" i="4"/>
  <c r="H23" i="4"/>
  <c r="G23" i="4"/>
  <c r="E23" i="4"/>
  <c r="D23" i="4"/>
  <c r="C23" i="4"/>
  <c r="B23" i="4"/>
  <c r="I22" i="4"/>
  <c r="H22" i="4"/>
  <c r="G22" i="4"/>
  <c r="E22" i="4"/>
  <c r="D22" i="4"/>
  <c r="C22" i="4"/>
  <c r="B22" i="4"/>
  <c r="I21" i="4"/>
  <c r="H21" i="4"/>
  <c r="G21" i="4"/>
  <c r="E21" i="4"/>
  <c r="D21" i="4"/>
  <c r="C21" i="4"/>
  <c r="B21" i="4"/>
  <c r="I20" i="4"/>
  <c r="H20" i="4"/>
  <c r="G20" i="4"/>
  <c r="E20" i="4"/>
  <c r="D20" i="4"/>
  <c r="C20" i="4"/>
  <c r="B20" i="4"/>
  <c r="I6" i="4"/>
  <c r="H6" i="4"/>
  <c r="G6" i="4"/>
  <c r="E6" i="4"/>
  <c r="D6" i="4"/>
  <c r="C6" i="4"/>
  <c r="B6" i="4"/>
  <c r="I5" i="4"/>
  <c r="H5" i="4"/>
  <c r="G5" i="4"/>
  <c r="E5" i="4"/>
  <c r="D5" i="4"/>
  <c r="C5" i="4"/>
  <c r="B5" i="4"/>
  <c r="I4" i="4"/>
  <c r="H4" i="4"/>
  <c r="G4" i="4"/>
  <c r="E4" i="4"/>
  <c r="D4" i="4"/>
  <c r="C4" i="4"/>
  <c r="B4" i="4"/>
  <c r="I3" i="4"/>
  <c r="H3" i="4"/>
  <c r="G3" i="4"/>
  <c r="E3" i="4"/>
  <c r="D3" i="4"/>
  <c r="C3" i="4"/>
  <c r="B3" i="4"/>
  <c r="I2" i="4"/>
  <c r="H2" i="4"/>
  <c r="G2" i="4"/>
  <c r="E2" i="4"/>
  <c r="D2" i="4"/>
  <c r="C2" i="4"/>
  <c r="B2" i="4"/>
  <c r="I599" i="4"/>
  <c r="H599" i="4"/>
  <c r="G599" i="4"/>
  <c r="E599" i="4"/>
  <c r="D599" i="4"/>
  <c r="C599" i="4"/>
  <c r="B599" i="4"/>
  <c r="I598" i="4"/>
  <c r="H598" i="4"/>
  <c r="G598" i="4"/>
  <c r="E598" i="4"/>
  <c r="D598" i="4"/>
  <c r="C598" i="4"/>
  <c r="B598" i="4"/>
  <c r="I597" i="4"/>
  <c r="H597" i="4"/>
  <c r="G597" i="4"/>
  <c r="E597" i="4"/>
  <c r="D597" i="4"/>
  <c r="C597" i="4"/>
  <c r="B597" i="4"/>
  <c r="I582" i="4"/>
  <c r="H582" i="4"/>
  <c r="G582" i="4"/>
  <c r="E582" i="4"/>
  <c r="D582" i="4"/>
  <c r="C582" i="4"/>
  <c r="B582" i="4"/>
  <c r="I581" i="4"/>
  <c r="H581" i="4"/>
  <c r="G581" i="4"/>
  <c r="E581" i="4"/>
  <c r="D581" i="4"/>
  <c r="C581" i="4"/>
  <c r="B581" i="4"/>
  <c r="I580" i="4"/>
  <c r="H580" i="4"/>
  <c r="G580" i="4"/>
  <c r="E580" i="4"/>
  <c r="D580" i="4"/>
  <c r="C580" i="4"/>
  <c r="B580" i="4"/>
  <c r="I579" i="4"/>
  <c r="H579" i="4"/>
  <c r="G579" i="4"/>
  <c r="E579" i="4"/>
  <c r="D579" i="4"/>
  <c r="C579" i="4"/>
  <c r="B579" i="4"/>
  <c r="I578" i="4"/>
  <c r="H578" i="4"/>
  <c r="G578" i="4"/>
  <c r="E578" i="4"/>
  <c r="D578" i="4"/>
  <c r="C578" i="4"/>
  <c r="B578" i="4"/>
  <c r="I546" i="4"/>
  <c r="H546" i="4"/>
  <c r="G546" i="4"/>
  <c r="E546" i="4"/>
  <c r="D546" i="4"/>
  <c r="C546" i="4"/>
  <c r="B546" i="4"/>
  <c r="I545" i="4"/>
  <c r="H545" i="4"/>
  <c r="G545" i="4"/>
  <c r="E545" i="4"/>
  <c r="D545" i="4"/>
  <c r="C545" i="4"/>
  <c r="B545" i="4"/>
  <c r="I544" i="4"/>
  <c r="H544" i="4"/>
  <c r="G544" i="4"/>
  <c r="E544" i="4"/>
  <c r="D544" i="4"/>
  <c r="C544" i="4"/>
  <c r="B544" i="4"/>
  <c r="I543" i="4"/>
  <c r="H543" i="4"/>
  <c r="G543" i="4"/>
  <c r="E543" i="4"/>
  <c r="D543" i="4"/>
  <c r="C543" i="4"/>
  <c r="B543" i="4"/>
  <c r="I542" i="4"/>
  <c r="H542" i="4"/>
  <c r="G542" i="4"/>
  <c r="E542" i="4"/>
  <c r="D542" i="4"/>
  <c r="C542" i="4"/>
  <c r="B542" i="4"/>
  <c r="I506" i="4"/>
  <c r="H506" i="4"/>
  <c r="G506" i="4"/>
  <c r="E506" i="4"/>
  <c r="D506" i="4"/>
  <c r="C506" i="4"/>
  <c r="B506" i="4"/>
  <c r="I505" i="4"/>
  <c r="H505" i="4"/>
  <c r="G505" i="4"/>
  <c r="E505" i="4"/>
  <c r="D505" i="4"/>
  <c r="C505" i="4"/>
  <c r="B505" i="4"/>
  <c r="I504" i="4"/>
  <c r="H504" i="4"/>
  <c r="G504" i="4"/>
  <c r="E504" i="4"/>
  <c r="D504" i="4"/>
  <c r="C504" i="4"/>
  <c r="B504" i="4"/>
  <c r="I492" i="4"/>
  <c r="H492" i="4"/>
  <c r="G492" i="4"/>
  <c r="E492" i="4"/>
  <c r="D492" i="4"/>
  <c r="C492" i="4"/>
  <c r="B492" i="4"/>
  <c r="I473" i="4"/>
  <c r="H473" i="4"/>
  <c r="G473" i="4"/>
  <c r="E473" i="4"/>
  <c r="D473" i="4"/>
  <c r="C473" i="4"/>
  <c r="B473" i="4"/>
  <c r="I483" i="4"/>
  <c r="H483" i="4"/>
  <c r="G483" i="4"/>
  <c r="E483" i="4"/>
  <c r="D483" i="4"/>
  <c r="C483" i="4"/>
  <c r="B483" i="4"/>
  <c r="I482" i="4"/>
  <c r="H482" i="4"/>
  <c r="G482" i="4"/>
  <c r="E482" i="4"/>
  <c r="D482" i="4"/>
  <c r="C482" i="4"/>
  <c r="B482" i="4"/>
  <c r="I481" i="4"/>
  <c r="H481" i="4"/>
  <c r="G481" i="4"/>
  <c r="E481" i="4"/>
  <c r="D481" i="4"/>
  <c r="C481" i="4"/>
  <c r="B481" i="4"/>
  <c r="I471" i="4"/>
  <c r="H471" i="4"/>
  <c r="G471" i="4"/>
  <c r="E471" i="4"/>
  <c r="D471" i="4"/>
  <c r="C471" i="4"/>
  <c r="B471" i="4"/>
  <c r="I470" i="4"/>
  <c r="H470" i="4"/>
  <c r="G470" i="4"/>
  <c r="E470" i="4"/>
  <c r="D470" i="4"/>
  <c r="C470" i="4"/>
  <c r="B470" i="4"/>
  <c r="I464" i="4"/>
  <c r="H464" i="4"/>
  <c r="G464" i="4"/>
  <c r="E464" i="4"/>
  <c r="D464" i="4"/>
  <c r="C464" i="4"/>
  <c r="B464" i="4"/>
  <c r="I454" i="4"/>
  <c r="H454" i="4"/>
  <c r="G454" i="4"/>
  <c r="E454" i="4"/>
  <c r="D454" i="4"/>
  <c r="C454" i="4"/>
  <c r="B454" i="4"/>
  <c r="I453" i="4"/>
  <c r="H453" i="4"/>
  <c r="G453" i="4"/>
  <c r="E453" i="4"/>
  <c r="D453" i="4"/>
  <c r="C453" i="4"/>
  <c r="B453" i="4"/>
  <c r="I455" i="4"/>
  <c r="H455" i="4"/>
  <c r="G455" i="4"/>
  <c r="E455" i="4"/>
  <c r="D455" i="4"/>
  <c r="C455" i="4"/>
  <c r="B455" i="4"/>
  <c r="I394" i="4"/>
  <c r="H394" i="4"/>
  <c r="G394" i="4"/>
  <c r="E394" i="4"/>
  <c r="D394" i="4"/>
  <c r="C394" i="4"/>
  <c r="B394" i="4"/>
  <c r="I393" i="4"/>
  <c r="H393" i="4"/>
  <c r="G393" i="4"/>
  <c r="E393" i="4"/>
  <c r="D393" i="4"/>
  <c r="C393" i="4"/>
  <c r="B393" i="4"/>
  <c r="I390" i="4"/>
  <c r="H390" i="4"/>
  <c r="G390" i="4"/>
  <c r="E390" i="4"/>
  <c r="D390" i="4"/>
  <c r="C390" i="4"/>
  <c r="B390" i="4"/>
  <c r="I374" i="4"/>
  <c r="H374" i="4"/>
  <c r="G374" i="4"/>
  <c r="E374" i="4"/>
  <c r="D374" i="4"/>
  <c r="C374" i="4"/>
  <c r="B374" i="4"/>
  <c r="I333" i="4"/>
  <c r="H333" i="4"/>
  <c r="G333" i="4"/>
  <c r="E333" i="4"/>
  <c r="D333" i="4"/>
  <c r="C333" i="4"/>
  <c r="B333" i="4"/>
  <c r="I373" i="4"/>
  <c r="H373" i="4"/>
  <c r="G373" i="4"/>
  <c r="E373" i="4"/>
  <c r="D373" i="4"/>
  <c r="C373" i="4"/>
  <c r="B373" i="4"/>
  <c r="I358" i="4"/>
  <c r="H358" i="4"/>
  <c r="G358" i="4"/>
  <c r="E358" i="4"/>
  <c r="D358" i="4"/>
  <c r="C358" i="4"/>
  <c r="B358" i="4"/>
  <c r="I334" i="4"/>
  <c r="H334" i="4"/>
  <c r="G334" i="4"/>
  <c r="E334" i="4"/>
  <c r="D334" i="4"/>
  <c r="C334" i="4"/>
  <c r="B334" i="4"/>
  <c r="I331" i="4"/>
  <c r="H331" i="4"/>
  <c r="G331" i="4"/>
  <c r="E331" i="4"/>
  <c r="D331" i="4"/>
  <c r="C331" i="4"/>
  <c r="B331" i="4"/>
  <c r="I330" i="4"/>
  <c r="H330" i="4"/>
  <c r="G330" i="4"/>
  <c r="E330" i="4"/>
  <c r="D330" i="4"/>
  <c r="C330" i="4"/>
  <c r="B330" i="4"/>
  <c r="I332" i="4"/>
  <c r="H332" i="4"/>
  <c r="G332" i="4"/>
  <c r="E332" i="4"/>
  <c r="D332" i="4"/>
  <c r="C332" i="4"/>
  <c r="B332" i="4"/>
  <c r="I329" i="4"/>
  <c r="H329" i="4"/>
  <c r="G329" i="4"/>
  <c r="E329" i="4"/>
  <c r="D329" i="4"/>
  <c r="C329" i="4"/>
  <c r="B329" i="4"/>
  <c r="I328" i="4"/>
  <c r="H328" i="4"/>
  <c r="G328" i="4"/>
  <c r="E328" i="4"/>
  <c r="D328" i="4"/>
  <c r="C328" i="4"/>
  <c r="B328" i="4"/>
  <c r="I327" i="4"/>
  <c r="H327" i="4"/>
  <c r="G327" i="4"/>
  <c r="E327" i="4"/>
  <c r="D327" i="4"/>
  <c r="C327" i="4"/>
  <c r="B327" i="4"/>
  <c r="I297" i="4"/>
  <c r="H297" i="4"/>
  <c r="G297" i="4"/>
  <c r="E297" i="4"/>
  <c r="D297" i="4"/>
  <c r="C297" i="4"/>
  <c r="B297" i="4"/>
  <c r="I295" i="4"/>
  <c r="H295" i="4"/>
  <c r="G295" i="4"/>
  <c r="E295" i="4"/>
  <c r="D295" i="4"/>
  <c r="C295" i="4"/>
  <c r="B295" i="4"/>
  <c r="I246" i="4"/>
  <c r="H246" i="4"/>
  <c r="G246" i="4"/>
  <c r="E246" i="4"/>
  <c r="D246" i="4"/>
  <c r="C246" i="4"/>
  <c r="B246" i="4"/>
  <c r="I245" i="4"/>
  <c r="H245" i="4"/>
  <c r="G245" i="4"/>
  <c r="E245" i="4"/>
  <c r="D245" i="4"/>
  <c r="C245" i="4"/>
  <c r="B245" i="4"/>
  <c r="I244" i="4"/>
  <c r="H244" i="4"/>
  <c r="G244" i="4"/>
  <c r="E244" i="4"/>
  <c r="D244" i="4"/>
  <c r="C244" i="4"/>
  <c r="B244" i="4"/>
  <c r="I262" i="4"/>
  <c r="H262" i="4"/>
  <c r="G262" i="4"/>
  <c r="E262" i="4"/>
  <c r="D262" i="4"/>
  <c r="C262" i="4"/>
  <c r="B262" i="4"/>
  <c r="I261" i="4"/>
  <c r="H261" i="4"/>
  <c r="G261" i="4"/>
  <c r="E261" i="4"/>
  <c r="D261" i="4"/>
  <c r="C261" i="4"/>
  <c r="B261" i="4"/>
  <c r="I260" i="4"/>
  <c r="H260" i="4"/>
  <c r="G260" i="4"/>
  <c r="E260" i="4"/>
  <c r="D260" i="4"/>
  <c r="C260" i="4"/>
  <c r="B260" i="4"/>
  <c r="I259" i="4"/>
  <c r="H259" i="4"/>
  <c r="G259" i="4"/>
  <c r="E259" i="4"/>
  <c r="D259" i="4"/>
  <c r="C259" i="4"/>
  <c r="B259" i="4"/>
  <c r="I258" i="4"/>
  <c r="H258" i="4"/>
  <c r="G258" i="4"/>
  <c r="E258" i="4"/>
  <c r="D258" i="4"/>
  <c r="C258" i="4"/>
  <c r="B258" i="4"/>
  <c r="I273" i="4"/>
  <c r="H273" i="4"/>
  <c r="G273" i="4"/>
  <c r="E273" i="4"/>
  <c r="D273" i="4"/>
  <c r="C273" i="4"/>
  <c r="B273" i="4"/>
  <c r="I272" i="4"/>
  <c r="H272" i="4"/>
  <c r="G272" i="4"/>
  <c r="E272" i="4"/>
  <c r="D272" i="4"/>
  <c r="C272" i="4"/>
  <c r="B272" i="4"/>
  <c r="I235" i="4"/>
  <c r="H235" i="4"/>
  <c r="G235" i="4"/>
  <c r="E235" i="4"/>
  <c r="D235" i="4"/>
  <c r="C235" i="4"/>
  <c r="B235" i="4"/>
  <c r="I221" i="4"/>
  <c r="H221" i="4"/>
  <c r="G221" i="4"/>
  <c r="E221" i="4"/>
  <c r="D221" i="4"/>
  <c r="C221" i="4"/>
  <c r="B221" i="4"/>
  <c r="I220" i="4"/>
  <c r="H220" i="4"/>
  <c r="G220" i="4"/>
  <c r="E220" i="4"/>
  <c r="D220" i="4"/>
  <c r="C220" i="4"/>
  <c r="B220" i="4"/>
  <c r="I219" i="4"/>
  <c r="H219" i="4"/>
  <c r="G219" i="4"/>
  <c r="E219" i="4"/>
  <c r="D219" i="4"/>
  <c r="C219" i="4"/>
  <c r="B219" i="4"/>
  <c r="I214" i="4"/>
  <c r="H214" i="4"/>
  <c r="G214" i="4"/>
  <c r="E214" i="4"/>
  <c r="D214" i="4"/>
  <c r="C214" i="4"/>
  <c r="B214" i="4"/>
  <c r="I203" i="4"/>
  <c r="H203" i="4"/>
  <c r="G203" i="4"/>
  <c r="E203" i="4"/>
  <c r="D203" i="4"/>
  <c r="C203" i="4"/>
  <c r="B203" i="4"/>
  <c r="I202" i="4"/>
  <c r="H202" i="4"/>
  <c r="G202" i="4"/>
  <c r="E202" i="4"/>
  <c r="D202" i="4"/>
  <c r="C202" i="4"/>
  <c r="B202" i="4"/>
  <c r="I205" i="4"/>
  <c r="H205" i="4"/>
  <c r="G205" i="4"/>
  <c r="E205" i="4"/>
  <c r="D205" i="4"/>
  <c r="C205" i="4"/>
  <c r="B205" i="4"/>
  <c r="I189" i="4"/>
  <c r="H189" i="4"/>
  <c r="G189" i="4"/>
  <c r="E189" i="4"/>
  <c r="D189" i="4"/>
  <c r="C189" i="4"/>
  <c r="B189" i="4"/>
  <c r="I188" i="4"/>
  <c r="H188" i="4"/>
  <c r="G188" i="4"/>
  <c r="E188" i="4"/>
  <c r="D188" i="4"/>
  <c r="C188" i="4"/>
  <c r="B188" i="4"/>
  <c r="I187" i="4"/>
  <c r="H187" i="4"/>
  <c r="G187" i="4"/>
  <c r="E187" i="4"/>
  <c r="D187" i="4"/>
  <c r="C187" i="4"/>
  <c r="B187" i="4"/>
  <c r="I176" i="4"/>
  <c r="H176" i="4"/>
  <c r="G176" i="4"/>
  <c r="E176" i="4"/>
  <c r="D176" i="4"/>
  <c r="C176" i="4"/>
  <c r="B176" i="4"/>
  <c r="I175" i="4"/>
  <c r="H175" i="4"/>
  <c r="G175" i="4"/>
  <c r="E175" i="4"/>
  <c r="D175" i="4"/>
  <c r="C175" i="4"/>
  <c r="B175" i="4"/>
  <c r="I150" i="4"/>
  <c r="H150" i="4"/>
  <c r="G150" i="4"/>
  <c r="E150" i="4"/>
  <c r="D150" i="4"/>
  <c r="C150" i="4"/>
  <c r="B150" i="4"/>
  <c r="I155" i="4"/>
  <c r="H155" i="4"/>
  <c r="G155" i="4"/>
  <c r="E155" i="4"/>
  <c r="D155" i="4"/>
  <c r="C155" i="4"/>
  <c r="B155" i="4"/>
  <c r="I154" i="4"/>
  <c r="H154" i="4"/>
  <c r="G154" i="4"/>
  <c r="E154" i="4"/>
  <c r="D154" i="4"/>
  <c r="C154" i="4"/>
  <c r="B154" i="4"/>
  <c r="I153" i="4"/>
  <c r="H153" i="4"/>
  <c r="G153" i="4"/>
  <c r="E153" i="4"/>
  <c r="D153" i="4"/>
  <c r="C153" i="4"/>
  <c r="B153" i="4"/>
  <c r="I152" i="4"/>
  <c r="H152" i="4"/>
  <c r="G152" i="4"/>
  <c r="E152" i="4"/>
  <c r="D152" i="4"/>
  <c r="C152" i="4"/>
  <c r="B152" i="4"/>
  <c r="I119" i="4"/>
  <c r="H119" i="4"/>
  <c r="G119" i="4"/>
  <c r="E119" i="4"/>
  <c r="D119" i="4"/>
  <c r="C119" i="4"/>
  <c r="B119" i="4"/>
  <c r="I118" i="4"/>
  <c r="H118" i="4"/>
  <c r="G118" i="4"/>
  <c r="E118" i="4"/>
  <c r="D118" i="4"/>
  <c r="C118" i="4"/>
  <c r="B118" i="4"/>
  <c r="I117" i="4"/>
  <c r="H117" i="4"/>
  <c r="G117" i="4"/>
  <c r="E117" i="4"/>
  <c r="D117" i="4"/>
  <c r="C117" i="4"/>
  <c r="B117" i="4"/>
  <c r="I116" i="4"/>
  <c r="H116" i="4"/>
  <c r="G116" i="4"/>
  <c r="E116" i="4"/>
  <c r="D116" i="4"/>
  <c r="C116" i="4"/>
  <c r="B116" i="4"/>
  <c r="I115" i="4"/>
  <c r="H115" i="4"/>
  <c r="G115" i="4"/>
  <c r="E115" i="4"/>
  <c r="D115" i="4"/>
  <c r="C115" i="4"/>
  <c r="B115" i="4"/>
  <c r="I114" i="4"/>
  <c r="H114" i="4"/>
  <c r="G114" i="4"/>
  <c r="E114" i="4"/>
  <c r="D114" i="4"/>
  <c r="C114" i="4"/>
  <c r="B114" i="4"/>
  <c r="I113" i="4"/>
  <c r="H113" i="4"/>
  <c r="G113" i="4"/>
  <c r="E113" i="4"/>
  <c r="D113" i="4"/>
  <c r="C113" i="4"/>
  <c r="B113" i="4"/>
  <c r="I87" i="4"/>
  <c r="H87" i="4"/>
  <c r="G87" i="4"/>
  <c r="E87" i="4"/>
  <c r="D87" i="4"/>
  <c r="C87" i="4"/>
  <c r="B87" i="4"/>
  <c r="I94" i="4"/>
  <c r="H94" i="4"/>
  <c r="G94" i="4"/>
  <c r="E94" i="4"/>
  <c r="D94" i="4"/>
  <c r="C94" i="4"/>
  <c r="B94" i="4"/>
  <c r="I93" i="4"/>
  <c r="H93" i="4"/>
  <c r="G93" i="4"/>
  <c r="E93" i="4"/>
  <c r="D93" i="4"/>
  <c r="C93" i="4"/>
  <c r="B93" i="4"/>
  <c r="I92" i="4"/>
  <c r="H92" i="4"/>
  <c r="G92" i="4"/>
  <c r="E92" i="4"/>
  <c r="D92" i="4"/>
  <c r="C92" i="4"/>
  <c r="B92" i="4"/>
  <c r="I76" i="4"/>
  <c r="H76" i="4"/>
  <c r="G76" i="4"/>
  <c r="E76" i="4"/>
  <c r="D76" i="4"/>
  <c r="C76" i="4"/>
  <c r="B76" i="4"/>
  <c r="I55" i="4"/>
  <c r="H55" i="4"/>
  <c r="G55" i="4"/>
  <c r="E55" i="4"/>
  <c r="D55" i="4"/>
  <c r="C55" i="4"/>
  <c r="B55" i="4"/>
  <c r="I8" i="4"/>
  <c r="H8" i="4"/>
  <c r="G8" i="4"/>
  <c r="E8" i="4"/>
  <c r="D8" i="4"/>
  <c r="C8" i="4"/>
  <c r="B8" i="4"/>
  <c r="I7" i="4"/>
  <c r="H7" i="4"/>
  <c r="G7" i="4"/>
  <c r="E7" i="4"/>
  <c r="D7" i="4"/>
  <c r="C7" i="4"/>
  <c r="B7" i="4"/>
  <c r="I19" i="4"/>
  <c r="H19" i="4"/>
  <c r="G19" i="4"/>
  <c r="E19" i="4"/>
  <c r="D19" i="4"/>
  <c r="C19" i="4"/>
  <c r="B19" i="4"/>
  <c r="I559" i="4"/>
  <c r="H559" i="4"/>
  <c r="G559" i="4"/>
  <c r="E559" i="4"/>
  <c r="D559" i="4"/>
  <c r="C559" i="4"/>
  <c r="B559" i="4"/>
  <c r="I558" i="4"/>
  <c r="H558" i="4"/>
  <c r="G558" i="4"/>
  <c r="E558" i="4"/>
  <c r="D558" i="4"/>
  <c r="C558" i="4"/>
  <c r="B558" i="4"/>
  <c r="I556" i="4"/>
  <c r="H556" i="4"/>
  <c r="G556" i="4"/>
  <c r="E556" i="4"/>
  <c r="D556" i="4"/>
  <c r="C556" i="4"/>
  <c r="B556" i="4"/>
  <c r="I552" i="4"/>
  <c r="H552" i="4"/>
  <c r="G552" i="4"/>
  <c r="E552" i="4"/>
  <c r="D552" i="4"/>
  <c r="C552" i="4"/>
  <c r="B552" i="4"/>
  <c r="I548" i="4"/>
  <c r="H548" i="4"/>
  <c r="G548" i="4"/>
  <c r="E548" i="4"/>
  <c r="D548" i="4"/>
  <c r="C548" i="4"/>
  <c r="B548" i="4"/>
  <c r="I547" i="4"/>
  <c r="H547" i="4"/>
  <c r="G547" i="4"/>
  <c r="E547" i="4"/>
  <c r="D547" i="4"/>
  <c r="C547" i="4"/>
  <c r="B547" i="4"/>
  <c r="I549" i="4"/>
  <c r="H549" i="4"/>
  <c r="G549" i="4"/>
  <c r="E549" i="4"/>
  <c r="D549" i="4"/>
  <c r="C549" i="4"/>
  <c r="B549" i="4"/>
  <c r="I516" i="4"/>
  <c r="H516" i="4"/>
  <c r="G516" i="4"/>
  <c r="E516" i="4"/>
  <c r="D516" i="4"/>
  <c r="C516" i="4"/>
  <c r="B516" i="4"/>
  <c r="I515" i="4"/>
  <c r="H515" i="4"/>
  <c r="G515" i="4"/>
  <c r="E515" i="4"/>
  <c r="D515" i="4"/>
  <c r="C515" i="4"/>
  <c r="B515" i="4"/>
  <c r="I550" i="4"/>
  <c r="H550" i="4"/>
  <c r="G550" i="4"/>
  <c r="E550" i="4"/>
  <c r="D550" i="4"/>
  <c r="C550" i="4"/>
  <c r="B550" i="4"/>
  <c r="I562" i="4"/>
  <c r="H562" i="4"/>
  <c r="G562" i="4"/>
  <c r="E562" i="4"/>
  <c r="D562" i="4"/>
  <c r="C562" i="4"/>
  <c r="B562" i="4"/>
  <c r="I561" i="4"/>
  <c r="H561" i="4"/>
  <c r="G561" i="4"/>
  <c r="E561" i="4"/>
  <c r="D561" i="4"/>
  <c r="C561" i="4"/>
  <c r="B561" i="4"/>
  <c r="I560" i="4"/>
  <c r="H560" i="4"/>
  <c r="G560" i="4"/>
  <c r="E560" i="4"/>
  <c r="D560" i="4"/>
  <c r="C560" i="4"/>
  <c r="B560" i="4"/>
  <c r="I553" i="4"/>
  <c r="H553" i="4"/>
  <c r="G553" i="4"/>
  <c r="E553" i="4"/>
  <c r="D553" i="4"/>
  <c r="C553" i="4"/>
  <c r="B553" i="4"/>
  <c r="I557" i="4"/>
  <c r="H557" i="4"/>
  <c r="G557" i="4"/>
  <c r="E557" i="4"/>
  <c r="D557" i="4"/>
  <c r="C557" i="4"/>
  <c r="B557" i="4"/>
  <c r="I555" i="4"/>
  <c r="H555" i="4"/>
  <c r="G555" i="4"/>
  <c r="E555" i="4"/>
  <c r="D555" i="4"/>
  <c r="C555" i="4"/>
  <c r="B555" i="4"/>
  <c r="I551" i="4"/>
  <c r="H551" i="4"/>
  <c r="G551" i="4"/>
  <c r="E551" i="4"/>
  <c r="D551" i="4"/>
  <c r="C551" i="4"/>
  <c r="B551" i="4"/>
  <c r="I554" i="4"/>
  <c r="H554" i="4"/>
  <c r="G554" i="4"/>
  <c r="E554" i="4"/>
  <c r="D554" i="4"/>
  <c r="C554" i="4"/>
  <c r="B554" i="4"/>
  <c r="I215" i="4"/>
  <c r="H215" i="4"/>
  <c r="G215" i="4"/>
  <c r="E215" i="4"/>
  <c r="D215" i="4"/>
  <c r="C215" i="4"/>
  <c r="B215" i="4"/>
  <c r="I439" i="4"/>
  <c r="H439" i="4"/>
  <c r="G439" i="4"/>
  <c r="E439" i="4"/>
  <c r="D439" i="4"/>
  <c r="C439" i="4"/>
  <c r="B439" i="4"/>
  <c r="I438" i="4"/>
  <c r="H438" i="4"/>
  <c r="G438" i="4"/>
  <c r="E438" i="4"/>
  <c r="D438" i="4"/>
  <c r="C438" i="4"/>
  <c r="B438" i="4"/>
  <c r="I431" i="4"/>
  <c r="H431" i="4"/>
  <c r="G431" i="4"/>
  <c r="E431" i="4"/>
  <c r="D431" i="4"/>
  <c r="C431" i="4"/>
  <c r="B431" i="4"/>
  <c r="I359" i="4"/>
  <c r="H359" i="4"/>
  <c r="G359" i="4"/>
  <c r="E359" i="4"/>
  <c r="D359" i="4"/>
  <c r="C359" i="4"/>
  <c r="B359" i="4"/>
  <c r="I313" i="4"/>
  <c r="H313" i="4"/>
  <c r="G313" i="4"/>
  <c r="E313" i="4"/>
  <c r="D313" i="4"/>
  <c r="C313" i="4"/>
  <c r="B313" i="4"/>
  <c r="I312" i="4"/>
  <c r="H312" i="4"/>
  <c r="G312" i="4"/>
  <c r="E312" i="4"/>
  <c r="D312" i="4"/>
  <c r="C312" i="4"/>
  <c r="B312" i="4"/>
  <c r="I311" i="4"/>
  <c r="H311" i="4"/>
  <c r="G311" i="4"/>
  <c r="E311" i="4"/>
  <c r="D311" i="4"/>
  <c r="C311" i="4"/>
  <c r="B311" i="4"/>
  <c r="I310" i="4"/>
  <c r="H310" i="4"/>
  <c r="G310" i="4"/>
  <c r="E310" i="4"/>
  <c r="D310" i="4"/>
  <c r="C310" i="4"/>
  <c r="B310" i="4"/>
  <c r="I307" i="4"/>
  <c r="H307" i="4"/>
  <c r="G307" i="4"/>
  <c r="E307" i="4"/>
  <c r="D307" i="4"/>
  <c r="C307" i="4"/>
  <c r="B307" i="4"/>
  <c r="I309" i="4"/>
  <c r="H309" i="4"/>
  <c r="G309" i="4"/>
  <c r="E309" i="4"/>
  <c r="D309" i="4"/>
  <c r="C309" i="4"/>
  <c r="B309" i="4"/>
  <c r="I308" i="4"/>
  <c r="H308" i="4"/>
  <c r="G308" i="4"/>
  <c r="E308" i="4"/>
  <c r="D308" i="4"/>
  <c r="C308" i="4"/>
  <c r="B308" i="4"/>
  <c r="I495" i="4"/>
  <c r="H495" i="4"/>
  <c r="G495" i="4"/>
  <c r="E495" i="4"/>
  <c r="D495" i="4"/>
  <c r="C495" i="4"/>
  <c r="B495" i="4"/>
  <c r="I496" i="4"/>
  <c r="H496" i="4"/>
  <c r="G496" i="4"/>
  <c r="E496" i="4"/>
  <c r="D496" i="4"/>
  <c r="C496" i="4"/>
  <c r="B496" i="4"/>
  <c r="I494" i="4"/>
  <c r="H494" i="4"/>
  <c r="G494" i="4"/>
  <c r="E494" i="4"/>
  <c r="D494" i="4"/>
  <c r="C494" i="4"/>
  <c r="B494" i="4"/>
  <c r="I493" i="4"/>
  <c r="H493" i="4"/>
  <c r="G493" i="4"/>
  <c r="E493" i="4"/>
  <c r="D493" i="4"/>
  <c r="C493" i="4"/>
  <c r="B493" i="4"/>
  <c r="I472" i="4"/>
  <c r="H472" i="4"/>
  <c r="G472" i="4"/>
  <c r="E472" i="4"/>
  <c r="D472" i="4"/>
  <c r="C472" i="4"/>
  <c r="B472" i="4"/>
  <c r="I466" i="4"/>
  <c r="H466" i="4"/>
  <c r="G466" i="4"/>
  <c r="E466" i="4"/>
  <c r="D466" i="4"/>
  <c r="C466" i="4"/>
  <c r="B466" i="4"/>
  <c r="I465" i="4"/>
  <c r="H465" i="4"/>
  <c r="G465" i="4"/>
  <c r="E465" i="4"/>
  <c r="D465" i="4"/>
  <c r="C465" i="4"/>
  <c r="B465" i="4"/>
  <c r="I429" i="4"/>
  <c r="H429" i="4"/>
  <c r="G429" i="4"/>
  <c r="E429" i="4"/>
  <c r="D429" i="4"/>
  <c r="C429" i="4"/>
  <c r="B429" i="4"/>
  <c r="I430" i="4"/>
  <c r="H430" i="4"/>
  <c r="G430" i="4"/>
  <c r="E430" i="4"/>
  <c r="D430" i="4"/>
  <c r="C430" i="4"/>
  <c r="B430" i="4"/>
  <c r="I428" i="4"/>
  <c r="H428" i="4"/>
  <c r="G428" i="4"/>
  <c r="E428" i="4"/>
  <c r="D428" i="4"/>
  <c r="C428" i="4"/>
  <c r="B428" i="4"/>
  <c r="I385" i="4"/>
  <c r="H385" i="4"/>
  <c r="G385" i="4"/>
  <c r="E385" i="4"/>
  <c r="D385" i="4"/>
  <c r="C385" i="4"/>
  <c r="B385" i="4"/>
  <c r="I372" i="4"/>
  <c r="H372" i="4"/>
  <c r="G372" i="4"/>
  <c r="E372" i="4"/>
  <c r="D372" i="4"/>
  <c r="C372" i="4"/>
  <c r="B372" i="4"/>
  <c r="I370" i="4"/>
  <c r="H370" i="4"/>
  <c r="G370" i="4"/>
  <c r="E370" i="4"/>
  <c r="D370" i="4"/>
  <c r="C370" i="4"/>
  <c r="B370" i="4"/>
  <c r="I369" i="4"/>
  <c r="H369" i="4"/>
  <c r="G369" i="4"/>
  <c r="E369" i="4"/>
  <c r="D369" i="4"/>
  <c r="C369" i="4"/>
  <c r="B369" i="4"/>
  <c r="I368" i="4"/>
  <c r="H368" i="4"/>
  <c r="G368" i="4"/>
  <c r="E368" i="4"/>
  <c r="D368" i="4"/>
  <c r="C368" i="4"/>
  <c r="B368" i="4"/>
  <c r="I270" i="4"/>
  <c r="H270" i="4"/>
  <c r="G270" i="4"/>
  <c r="E270" i="4"/>
  <c r="D270" i="4"/>
  <c r="C270" i="4"/>
  <c r="B270" i="4"/>
  <c r="I271" i="4"/>
  <c r="H271" i="4"/>
  <c r="G271" i="4"/>
  <c r="E271" i="4"/>
  <c r="D271" i="4"/>
  <c r="C271" i="4"/>
  <c r="B271" i="4"/>
  <c r="I269" i="4"/>
  <c r="H269" i="4"/>
  <c r="G269" i="4"/>
  <c r="E269" i="4"/>
  <c r="D269" i="4"/>
  <c r="C269" i="4"/>
  <c r="B269" i="4"/>
  <c r="I268" i="4"/>
  <c r="H268" i="4"/>
  <c r="G268" i="4"/>
  <c r="E268" i="4"/>
  <c r="D268" i="4"/>
  <c r="C268" i="4"/>
  <c r="B268" i="4"/>
  <c r="I127" i="4"/>
  <c r="H127" i="4"/>
  <c r="G127" i="4"/>
  <c r="E127" i="4"/>
  <c r="D127" i="4"/>
  <c r="C127" i="4"/>
  <c r="B127" i="4"/>
  <c r="I131" i="4"/>
  <c r="H131" i="4"/>
  <c r="G131" i="4"/>
  <c r="E131" i="4"/>
  <c r="D131" i="4"/>
  <c r="C131" i="4"/>
  <c r="B131" i="4"/>
  <c r="I134" i="4"/>
  <c r="H134" i="4"/>
  <c r="G134" i="4"/>
  <c r="E134" i="4"/>
  <c r="D134" i="4"/>
  <c r="C134" i="4"/>
  <c r="B134" i="4"/>
  <c r="I135" i="4"/>
  <c r="H135" i="4"/>
  <c r="G135" i="4"/>
  <c r="E135" i="4"/>
  <c r="D135" i="4"/>
  <c r="C135" i="4"/>
  <c r="B135" i="4"/>
  <c r="I124" i="4"/>
  <c r="H124" i="4"/>
  <c r="G124" i="4"/>
  <c r="E124" i="4"/>
  <c r="D124" i="4"/>
  <c r="C124" i="4"/>
  <c r="B124" i="4"/>
  <c r="I133" i="4"/>
  <c r="H133" i="4"/>
  <c r="G133" i="4"/>
  <c r="E133" i="4"/>
  <c r="D133" i="4"/>
  <c r="C133" i="4"/>
  <c r="B133" i="4"/>
  <c r="I123" i="4"/>
  <c r="H123" i="4"/>
  <c r="G123" i="4"/>
  <c r="E123" i="4"/>
  <c r="D123" i="4"/>
  <c r="C123" i="4"/>
  <c r="B123" i="4"/>
  <c r="I243" i="4"/>
  <c r="H243" i="4"/>
  <c r="G243" i="4"/>
  <c r="E243" i="4"/>
  <c r="D243" i="4"/>
  <c r="C243" i="4"/>
  <c r="B243" i="4"/>
  <c r="I121" i="4"/>
  <c r="H121" i="4"/>
  <c r="G121" i="4"/>
  <c r="E121" i="4"/>
  <c r="D121" i="4"/>
  <c r="C121" i="4"/>
  <c r="B121" i="4"/>
  <c r="I129" i="4"/>
  <c r="H129" i="4"/>
  <c r="G129" i="4"/>
  <c r="E129" i="4"/>
  <c r="D129" i="4"/>
  <c r="C129" i="4"/>
  <c r="B129" i="4"/>
  <c r="I120" i="4"/>
  <c r="H120" i="4"/>
  <c r="G120" i="4"/>
  <c r="E120" i="4"/>
  <c r="D120" i="4"/>
  <c r="C120" i="4"/>
  <c r="B120" i="4"/>
  <c r="I130" i="4"/>
  <c r="H130" i="4"/>
  <c r="G130" i="4"/>
  <c r="E130" i="4"/>
  <c r="D130" i="4"/>
  <c r="C130" i="4"/>
  <c r="B130" i="4"/>
  <c r="I126" i="4"/>
  <c r="H126" i="4"/>
  <c r="G126" i="4"/>
  <c r="E126" i="4"/>
  <c r="D126" i="4"/>
  <c r="C126" i="4"/>
  <c r="B126" i="4"/>
  <c r="I132" i="4"/>
  <c r="H132" i="4"/>
  <c r="G132" i="4"/>
  <c r="E132" i="4"/>
  <c r="D132" i="4"/>
  <c r="C132" i="4"/>
  <c r="B132" i="4"/>
  <c r="I125" i="4"/>
  <c r="H125" i="4"/>
  <c r="G125" i="4"/>
  <c r="E125" i="4"/>
  <c r="D125" i="4"/>
  <c r="C125" i="4"/>
  <c r="B125" i="4"/>
  <c r="I128" i="4"/>
  <c r="H128" i="4"/>
  <c r="G128" i="4"/>
  <c r="E128" i="4"/>
  <c r="D128" i="4"/>
  <c r="C128" i="4"/>
  <c r="B128" i="4"/>
  <c r="I122" i="4"/>
  <c r="H122" i="4"/>
  <c r="G122" i="4"/>
  <c r="E122" i="4"/>
  <c r="D122" i="4"/>
  <c r="C122" i="4"/>
  <c r="B122" i="4"/>
  <c r="I266" i="4"/>
  <c r="H266" i="4"/>
  <c r="G266" i="4"/>
  <c r="E266" i="4"/>
  <c r="D266" i="4"/>
  <c r="C266" i="4"/>
  <c r="B266" i="4"/>
  <c r="I265" i="4"/>
  <c r="H265" i="4"/>
  <c r="G265" i="4"/>
  <c r="E265" i="4"/>
  <c r="D265" i="4"/>
  <c r="C265" i="4"/>
  <c r="B265" i="4"/>
  <c r="I264" i="4"/>
  <c r="H264" i="4"/>
  <c r="G264" i="4"/>
  <c r="E264" i="4"/>
  <c r="D264" i="4"/>
  <c r="C264" i="4"/>
  <c r="B264" i="4"/>
  <c r="I50" i="4"/>
  <c r="H50" i="4"/>
  <c r="G50" i="4"/>
  <c r="E50" i="4"/>
  <c r="D50" i="4"/>
  <c r="C50" i="4"/>
  <c r="B50" i="4"/>
  <c r="I49" i="4"/>
  <c r="H49" i="4"/>
  <c r="G49" i="4"/>
  <c r="E49" i="4"/>
  <c r="D49" i="4"/>
  <c r="C49" i="4"/>
  <c r="B49" i="4"/>
  <c r="I40" i="4"/>
  <c r="H40" i="4"/>
  <c r="G40" i="4"/>
  <c r="E40" i="4"/>
  <c r="D40" i="4"/>
  <c r="C40" i="4"/>
  <c r="B40" i="4"/>
  <c r="I36" i="4"/>
  <c r="H36" i="4"/>
  <c r="G36" i="4"/>
  <c r="E36" i="4"/>
  <c r="D36" i="4"/>
  <c r="C36" i="4"/>
  <c r="B36" i="4"/>
  <c r="I18" i="4"/>
  <c r="H18" i="4"/>
  <c r="G18" i="4"/>
  <c r="E18" i="4"/>
  <c r="D18" i="4"/>
  <c r="C18" i="4"/>
  <c r="B18" i="4"/>
  <c r="I17" i="4"/>
  <c r="H17" i="4"/>
  <c r="G17" i="4"/>
  <c r="E17" i="4"/>
  <c r="D17" i="4"/>
  <c r="C17" i="4"/>
  <c r="B17" i="4"/>
  <c r="I43" i="4"/>
  <c r="H43" i="4"/>
  <c r="G43" i="4"/>
  <c r="E43" i="4"/>
  <c r="D43" i="4"/>
  <c r="C43" i="4"/>
  <c r="B43" i="4"/>
  <c r="I42" i="4"/>
  <c r="H42" i="4"/>
  <c r="G42" i="4"/>
  <c r="E42" i="4"/>
  <c r="D42" i="4"/>
  <c r="C42" i="4"/>
  <c r="B42" i="4"/>
  <c r="I77" i="4"/>
  <c r="H77" i="4"/>
  <c r="G77" i="4"/>
  <c r="E77" i="4"/>
  <c r="D77" i="4"/>
  <c r="C77" i="4"/>
  <c r="B77" i="4"/>
  <c r="I91" i="4"/>
  <c r="H91" i="4"/>
  <c r="G91" i="4"/>
  <c r="E91" i="4"/>
  <c r="D91" i="4"/>
  <c r="C91" i="4"/>
  <c r="B91" i="4"/>
  <c r="I90" i="4"/>
  <c r="H90" i="4"/>
  <c r="G90" i="4"/>
  <c r="E90" i="4"/>
  <c r="D90" i="4"/>
  <c r="C90" i="4"/>
  <c r="B90" i="4"/>
  <c r="I75" i="4"/>
  <c r="H75" i="4"/>
  <c r="G75" i="4"/>
  <c r="E75" i="4"/>
  <c r="D75" i="4"/>
  <c r="C75" i="4"/>
  <c r="B75" i="4"/>
  <c r="I74" i="4"/>
  <c r="H74" i="4"/>
  <c r="G74" i="4"/>
  <c r="E74" i="4"/>
  <c r="D74" i="4"/>
  <c r="C74" i="4"/>
  <c r="B74" i="4"/>
  <c r="I71" i="4"/>
  <c r="H71" i="4"/>
  <c r="G71" i="4"/>
  <c r="E71" i="4"/>
  <c r="D71" i="4"/>
  <c r="C71" i="4"/>
  <c r="B71" i="4"/>
  <c r="I67" i="4"/>
  <c r="H67" i="4"/>
  <c r="G67" i="4"/>
  <c r="E67" i="4"/>
  <c r="D67" i="4"/>
  <c r="C67" i="4"/>
  <c r="B67" i="4"/>
  <c r="I57" i="4"/>
  <c r="H57" i="4"/>
  <c r="G57" i="4"/>
  <c r="E57" i="4"/>
  <c r="D57" i="4"/>
  <c r="C57" i="4"/>
  <c r="B57" i="4"/>
  <c r="I56" i="4"/>
  <c r="H56" i="4"/>
  <c r="G56" i="4"/>
  <c r="E56" i="4"/>
  <c r="D56" i="4"/>
  <c r="C56" i="4"/>
  <c r="B56" i="4"/>
  <c r="I52" i="4"/>
  <c r="H52" i="4"/>
  <c r="G52" i="4"/>
  <c r="E52" i="4"/>
  <c r="D52" i="4"/>
  <c r="C52" i="4"/>
  <c r="B52" i="4"/>
  <c r="I66" i="4"/>
  <c r="H66" i="4"/>
  <c r="G66" i="4"/>
  <c r="E66" i="4"/>
  <c r="D66" i="4"/>
  <c r="C66" i="4"/>
  <c r="B66" i="4"/>
  <c r="I62" i="4"/>
  <c r="H62" i="4"/>
  <c r="G62" i="4"/>
  <c r="E62" i="4"/>
  <c r="D62" i="4"/>
  <c r="C62" i="4"/>
  <c r="B62" i="4"/>
  <c r="I34" i="4"/>
  <c r="H34" i="4"/>
  <c r="G34" i="4"/>
  <c r="E34" i="4"/>
  <c r="D34" i="4"/>
  <c r="C34" i="4"/>
  <c r="B34" i="4"/>
  <c r="I33" i="4"/>
  <c r="H33" i="4"/>
  <c r="G33" i="4"/>
  <c r="E33" i="4"/>
  <c r="D33" i="4"/>
  <c r="C33" i="4"/>
  <c r="B33" i="4"/>
  <c r="I9" i="4"/>
  <c r="H9" i="4"/>
  <c r="G9" i="4"/>
  <c r="E9" i="4"/>
  <c r="D9" i="4"/>
  <c r="C9" i="4"/>
  <c r="B9" i="4"/>
  <c r="I236" i="4"/>
  <c r="H236" i="4"/>
  <c r="G236" i="4"/>
  <c r="E236" i="4"/>
  <c r="D236" i="4"/>
  <c r="C236" i="4"/>
  <c r="B236" i="4"/>
  <c r="I218" i="4"/>
  <c r="H218" i="4"/>
  <c r="G218" i="4"/>
  <c r="E218" i="4"/>
  <c r="D218" i="4"/>
  <c r="C218" i="4"/>
  <c r="B218" i="4"/>
  <c r="I217" i="4"/>
  <c r="H217" i="4"/>
  <c r="G217" i="4"/>
  <c r="E217" i="4"/>
  <c r="D217" i="4"/>
  <c r="C217" i="4"/>
  <c r="B217" i="4"/>
  <c r="I216" i="4"/>
  <c r="H216" i="4"/>
  <c r="G216" i="4"/>
  <c r="E216" i="4"/>
  <c r="D216" i="4"/>
  <c r="C216" i="4"/>
  <c r="B216" i="4"/>
  <c r="I39" i="4"/>
  <c r="H39" i="4"/>
  <c r="G39" i="4"/>
  <c r="E39" i="4"/>
  <c r="D39" i="4"/>
  <c r="C39" i="4"/>
  <c r="B39" i="4"/>
  <c r="I16" i="4"/>
  <c r="H16" i="4"/>
  <c r="G16" i="4"/>
  <c r="E16" i="4"/>
  <c r="D16" i="4"/>
  <c r="C16" i="4"/>
  <c r="B16" i="4"/>
  <c r="I38" i="4"/>
  <c r="H38" i="4"/>
  <c r="G38" i="4"/>
  <c r="E38" i="4"/>
  <c r="D38" i="4"/>
  <c r="C38" i="4"/>
  <c r="B38" i="4"/>
  <c r="I41" i="4"/>
  <c r="H41" i="4"/>
  <c r="G41" i="4"/>
  <c r="E41" i="4"/>
  <c r="D41" i="4"/>
  <c r="C41" i="4"/>
  <c r="B41" i="4"/>
  <c r="I37" i="4"/>
  <c r="H37" i="4"/>
  <c r="G37" i="4"/>
  <c r="E37" i="4"/>
  <c r="D37" i="4"/>
  <c r="C37" i="4"/>
  <c r="B37" i="4"/>
  <c r="I35" i="4"/>
  <c r="H35" i="4"/>
  <c r="G35" i="4"/>
  <c r="E35" i="4"/>
  <c r="D35" i="4"/>
  <c r="C35" i="4"/>
  <c r="B35" i="4"/>
  <c r="I51" i="4"/>
  <c r="H51" i="4"/>
  <c r="G51" i="4"/>
  <c r="E51" i="4"/>
  <c r="D51" i="4"/>
  <c r="C51" i="4"/>
  <c r="B51" i="4"/>
  <c r="I44" i="4"/>
  <c r="H44" i="4"/>
  <c r="G44" i="4"/>
  <c r="E44" i="4"/>
  <c r="D44" i="4"/>
  <c r="C44" i="4"/>
  <c r="B44" i="4"/>
  <c r="I58" i="4"/>
  <c r="H58" i="4"/>
  <c r="G58" i="4"/>
  <c r="E58" i="4"/>
  <c r="D58" i="4"/>
  <c r="C58" i="4"/>
  <c r="B58" i="4"/>
  <c r="I267" i="4"/>
  <c r="H267" i="4"/>
  <c r="G267" i="4"/>
  <c r="E267" i="4"/>
  <c r="D267" i="4"/>
  <c r="C267" i="4"/>
  <c r="B267" i="4"/>
  <c r="I263" i="4"/>
  <c r="H263" i="4"/>
  <c r="G263" i="4"/>
  <c r="E263" i="4"/>
  <c r="D263" i="4"/>
  <c r="C263" i="4"/>
  <c r="B263" i="4"/>
  <c r="I204" i="4"/>
  <c r="H204" i="4"/>
  <c r="G204" i="4"/>
  <c r="E204" i="4"/>
  <c r="D204" i="4"/>
  <c r="C204" i="4"/>
  <c r="B204" i="4"/>
  <c r="I151" i="4"/>
  <c r="H151" i="4"/>
  <c r="G151" i="4"/>
  <c r="E151" i="4"/>
  <c r="D151" i="4"/>
  <c r="C151" i="4"/>
  <c r="B151" i="4"/>
  <c r="I136" i="4"/>
  <c r="H136" i="4"/>
  <c r="G136" i="4"/>
  <c r="E136" i="4"/>
  <c r="D136" i="4"/>
  <c r="C136" i="4"/>
  <c r="B136" i="4"/>
  <c r="I89" i="4"/>
  <c r="H89" i="4"/>
  <c r="G89" i="4"/>
  <c r="E89" i="4"/>
  <c r="D89" i="4"/>
  <c r="C89" i="4"/>
  <c r="B89" i="4"/>
  <c r="I88" i="4"/>
  <c r="H88" i="4"/>
  <c r="G88" i="4"/>
  <c r="E88" i="4"/>
  <c r="D88" i="4"/>
  <c r="C88" i="4"/>
  <c r="B88" i="4"/>
  <c r="I86" i="4"/>
  <c r="H86" i="4"/>
  <c r="G86" i="4"/>
  <c r="E86" i="4"/>
  <c r="D86" i="4"/>
  <c r="C86" i="4"/>
  <c r="B86" i="4"/>
  <c r="I601" i="4"/>
  <c r="H601" i="4"/>
  <c r="G601" i="4"/>
  <c r="E601" i="4"/>
  <c r="D601" i="4"/>
  <c r="C601" i="4"/>
  <c r="B601" i="4"/>
  <c r="I600" i="4"/>
  <c r="H600" i="4"/>
  <c r="G600" i="4"/>
  <c r="E600" i="4"/>
  <c r="D600" i="4"/>
  <c r="C600" i="4"/>
  <c r="B600" i="4"/>
  <c r="I298" i="4"/>
  <c r="H298" i="4"/>
  <c r="G298" i="4"/>
  <c r="E298" i="4"/>
  <c r="D298" i="4"/>
  <c r="C298" i="4"/>
  <c r="B298" i="4"/>
  <c r="I242" i="4"/>
  <c r="H242" i="4"/>
  <c r="G242" i="4"/>
  <c r="E242" i="4"/>
  <c r="D242" i="4"/>
  <c r="C242" i="4"/>
  <c r="B242" i="4"/>
  <c r="I241" i="4"/>
  <c r="H241" i="4"/>
  <c r="G241" i="4"/>
  <c r="E241" i="4"/>
  <c r="D241" i="4"/>
  <c r="C241" i="4"/>
  <c r="B241" i="4"/>
  <c r="I240" i="4"/>
  <c r="H240" i="4"/>
  <c r="G240" i="4"/>
  <c r="E240" i="4"/>
  <c r="D240" i="4"/>
  <c r="C240" i="4"/>
  <c r="B240" i="4"/>
  <c r="I239" i="4"/>
  <c r="H239" i="4"/>
  <c r="G239" i="4"/>
  <c r="E239" i="4"/>
  <c r="D239" i="4"/>
  <c r="C239" i="4"/>
  <c r="B239" i="4"/>
  <c r="I238" i="4"/>
  <c r="H238" i="4"/>
  <c r="G238" i="4"/>
  <c r="E238" i="4"/>
  <c r="D238" i="4"/>
  <c r="C238" i="4"/>
  <c r="B238" i="4"/>
  <c r="I237" i="4"/>
  <c r="H237" i="4"/>
  <c r="G237" i="4"/>
  <c r="E237" i="4"/>
  <c r="D237" i="4"/>
  <c r="C237" i="4"/>
  <c r="B237" i="4"/>
  <c r="F19" i="4" l="1"/>
  <c r="F7" i="4" l="1"/>
  <c r="F8" i="4" l="1"/>
  <c r="F55" i="4" l="1"/>
  <c r="F76" i="4" l="1"/>
  <c r="F92" i="4" l="1"/>
  <c r="F93" i="4" l="1"/>
  <c r="F94" i="4" l="1"/>
  <c r="F87" i="4" l="1"/>
  <c r="F113" i="4" l="1"/>
  <c r="F114" i="4" l="1"/>
  <c r="F115" i="4" l="1"/>
  <c r="F116" i="4" l="1"/>
  <c r="F117" i="4" l="1"/>
  <c r="F118" i="4" l="1"/>
  <c r="F119" i="4" l="1"/>
  <c r="F152" i="4" l="1"/>
  <c r="F153" i="4" l="1"/>
  <c r="F154" i="4" l="1"/>
  <c r="F155" i="4" l="1"/>
  <c r="F150" i="4" l="1"/>
  <c r="F175" i="4" l="1"/>
  <c r="F176" i="4" l="1"/>
  <c r="F187" i="4" l="1"/>
  <c r="F188" i="4" l="1"/>
  <c r="F189" i="4" l="1"/>
  <c r="F205" i="4" l="1"/>
  <c r="F202" i="4" l="1"/>
  <c r="F203" i="4" l="1"/>
  <c r="F214" i="4" l="1"/>
  <c r="F219" i="4" l="1"/>
  <c r="F220" i="4" l="1"/>
  <c r="F221" i="4" l="1"/>
  <c r="F235" i="4" l="1"/>
  <c r="F272" i="4" l="1"/>
  <c r="F273" i="4" l="1"/>
  <c r="F258" i="4" l="1"/>
  <c r="F259" i="4" l="1"/>
  <c r="F260" i="4" l="1"/>
  <c r="F261" i="4" l="1"/>
  <c r="F262" i="4" l="1"/>
  <c r="F244" i="4" l="1"/>
  <c r="F245" i="4" l="1"/>
  <c r="F246" i="4" l="1"/>
  <c r="F295" i="4" l="1"/>
  <c r="F297" i="4" l="1"/>
  <c r="F327" i="4" l="1"/>
  <c r="F328" i="4" l="1"/>
  <c r="F329" i="4" l="1"/>
  <c r="F332" i="4" l="1"/>
  <c r="F330" i="4" l="1"/>
  <c r="F331" i="4" l="1"/>
  <c r="F334" i="4" l="1"/>
  <c r="F358" i="4" l="1"/>
  <c r="F373" i="4" l="1"/>
  <c r="F333" i="4" l="1"/>
  <c r="F374" i="4" l="1"/>
  <c r="F390" i="4" l="1"/>
  <c r="F393" i="4" l="1"/>
  <c r="F394" i="4" l="1"/>
  <c r="F455" i="4" l="1"/>
  <c r="F453" i="4" l="1"/>
  <c r="F454" i="4" l="1"/>
  <c r="F464" i="4" l="1"/>
  <c r="F470" i="4" l="1"/>
  <c r="F471" i="4" l="1"/>
  <c r="F481" i="4" l="1"/>
  <c r="F482" i="4" l="1"/>
  <c r="F483" i="4" l="1"/>
  <c r="F473" i="4" l="1"/>
  <c r="F492" i="4" l="1"/>
  <c r="F504" i="4" l="1"/>
  <c r="F505" i="4" l="1"/>
  <c r="F506" i="4" l="1"/>
  <c r="F542" i="4" l="1"/>
  <c r="F543" i="4" l="1"/>
  <c r="F544" i="4" l="1"/>
  <c r="F545" i="4" l="1"/>
  <c r="F546" i="4" l="1"/>
  <c r="F578" i="4" l="1"/>
  <c r="F579" i="4" l="1"/>
  <c r="F580" i="4" l="1"/>
  <c r="F581" i="4" l="1"/>
  <c r="F582" i="4" l="1"/>
  <c r="F597" i="4" l="1"/>
  <c r="F599" i="4" l="1"/>
  <c r="F598" i="4"/>
  <c r="F237" i="4" l="1"/>
  <c r="F238" i="4" l="1"/>
  <c r="F239" i="4" l="1"/>
  <c r="F240" i="4" l="1"/>
  <c r="F241" i="4" l="1"/>
  <c r="F242" i="4" l="1"/>
  <c r="F298" i="4" l="1"/>
  <c r="F600" i="4" l="1"/>
  <c r="F601" i="4" l="1"/>
  <c r="F86" i="4" l="1"/>
  <c r="F88" i="4" l="1"/>
  <c r="F89" i="4" l="1"/>
  <c r="F136" i="4" l="1"/>
  <c r="F151" i="4" l="1"/>
  <c r="F204" i="4" l="1"/>
  <c r="F263" i="4" l="1"/>
  <c r="F267" i="4" l="1"/>
  <c r="F58" i="4" l="1"/>
  <c r="F44" i="4" l="1"/>
  <c r="F51" i="4" l="1"/>
  <c r="F35" i="4" l="1"/>
  <c r="F37" i="4" l="1"/>
  <c r="F41" i="4" l="1"/>
  <c r="F38" i="4" l="1"/>
  <c r="F16" i="4" l="1"/>
  <c r="F39" i="4" l="1"/>
  <c r="F216" i="4" l="1"/>
  <c r="F217" i="4" l="1"/>
  <c r="F218" i="4" l="1"/>
  <c r="F236" i="4" l="1"/>
  <c r="F9" i="4" l="1"/>
  <c r="F33" i="4" l="1"/>
  <c r="F34" i="4" l="1"/>
  <c r="F62" i="4" l="1"/>
  <c r="F66" i="4" l="1"/>
  <c r="F52" i="4" l="1"/>
  <c r="F56" i="4" l="1"/>
  <c r="F57" i="4" l="1"/>
  <c r="F67" i="4" l="1"/>
  <c r="F71" i="4" l="1"/>
  <c r="F74" i="4" l="1"/>
  <c r="F75" i="4" l="1"/>
  <c r="F90" i="4" l="1"/>
  <c r="F91" i="4" l="1"/>
  <c r="F77" i="4" l="1"/>
  <c r="F42" i="4" l="1"/>
  <c r="F43" i="4" l="1"/>
  <c r="F17" i="4" l="1"/>
  <c r="F18" i="4" l="1"/>
  <c r="F36" i="4" l="1"/>
  <c r="F40" i="4" l="1"/>
  <c r="F49" i="4" l="1"/>
  <c r="F50" i="4" l="1"/>
  <c r="F264" i="4" l="1"/>
  <c r="F265" i="4" l="1"/>
  <c r="F266" i="4" l="1"/>
  <c r="F122" i="4" l="1"/>
  <c r="F128" i="4" l="1"/>
  <c r="F125" i="4" l="1"/>
  <c r="F132" i="4" l="1"/>
  <c r="F126" i="4" l="1"/>
  <c r="F130" i="4" l="1"/>
  <c r="F120" i="4" l="1"/>
  <c r="F129" i="4" l="1"/>
  <c r="F121" i="4" l="1"/>
  <c r="F243" i="4" l="1"/>
  <c r="F123" i="4" l="1"/>
  <c r="F133" i="4" l="1"/>
  <c r="F124" i="4" l="1"/>
  <c r="F135" i="4" l="1"/>
  <c r="F134" i="4" l="1"/>
  <c r="F131" i="4" l="1"/>
  <c r="F127" i="4" l="1"/>
  <c r="F268" i="4" l="1"/>
  <c r="F269" i="4" l="1"/>
  <c r="F271" i="4" l="1"/>
  <c r="F270" i="4" l="1"/>
  <c r="F368" i="4" l="1"/>
  <c r="F369" i="4" l="1"/>
  <c r="F370" i="4" l="1"/>
  <c r="F372" i="4" l="1"/>
  <c r="F385" i="4" l="1"/>
  <c r="F428" i="4" l="1"/>
  <c r="F430" i="4" l="1"/>
  <c r="F429" i="4" l="1"/>
  <c r="F465" i="4" l="1"/>
  <c r="F466" i="4" l="1"/>
  <c r="F472" i="4" l="1"/>
  <c r="F493" i="4" l="1"/>
  <c r="F494" i="4" l="1"/>
  <c r="F496" i="4" l="1"/>
  <c r="F495" i="4" l="1"/>
  <c r="F308" i="4" l="1"/>
  <c r="F309" i="4" l="1"/>
  <c r="F307" i="4" l="1"/>
  <c r="F310" i="4" l="1"/>
  <c r="F311" i="4" l="1"/>
  <c r="F312" i="4" l="1"/>
  <c r="F313" i="4" l="1"/>
  <c r="F359" i="4" l="1"/>
  <c r="F431" i="4" l="1"/>
  <c r="F438" i="4" l="1"/>
  <c r="F439" i="4" l="1"/>
  <c r="F215" i="4" l="1"/>
  <c r="F554" i="4" l="1"/>
  <c r="F551" i="4" l="1"/>
  <c r="F555" i="4" l="1"/>
  <c r="F557" i="4" l="1"/>
  <c r="F553" i="4" l="1"/>
  <c r="F560" i="4" l="1"/>
  <c r="F561" i="4" l="1"/>
  <c r="F562" i="4" l="1"/>
  <c r="F550" i="4" l="1"/>
  <c r="F515" i="4" l="1"/>
  <c r="F516" i="4" l="1"/>
  <c r="F549" i="4" l="1"/>
  <c r="F547" i="4" l="1"/>
  <c r="F548" i="4" l="1"/>
  <c r="F552" i="4" l="1"/>
  <c r="F556" i="4" l="1"/>
  <c r="F559" i="4" l="1"/>
  <c r="F558" i="4"/>
  <c r="F2" i="4" l="1"/>
  <c r="F3" i="4" l="1"/>
  <c r="F4" i="4" l="1"/>
  <c r="F5" i="4" l="1"/>
  <c r="F6" i="4" l="1"/>
  <c r="F20" i="4" l="1"/>
  <c r="F21" i="4" l="1"/>
  <c r="F22" i="4" l="1"/>
  <c r="F23" i="4" l="1"/>
  <c r="F24" i="4" l="1"/>
  <c r="F25" i="4" l="1"/>
  <c r="F26" i="4" l="1"/>
  <c r="F27" i="4" l="1"/>
  <c r="F28" i="4" l="1"/>
  <c r="F29" i="4" l="1"/>
  <c r="F30" i="4" l="1"/>
  <c r="F31" i="4" l="1"/>
  <c r="F32" i="4" l="1"/>
  <c r="F45" i="4" l="1"/>
  <c r="F46" i="4" l="1"/>
  <c r="F47" i="4" l="1"/>
  <c r="F48" i="4" l="1"/>
  <c r="F53" i="4" l="1"/>
  <c r="F54" i="4" l="1"/>
  <c r="F59" i="4" l="1"/>
  <c r="F60" i="4" l="1"/>
  <c r="F61" i="4" l="1"/>
  <c r="F63" i="4" l="1"/>
  <c r="F64" i="4" l="1"/>
  <c r="F65" i="4" l="1"/>
  <c r="F68" i="4" l="1"/>
  <c r="F69" i="4" l="1"/>
  <c r="F70" i="4" l="1"/>
  <c r="F72" i="4" l="1"/>
  <c r="F73" i="4" l="1"/>
  <c r="F78" i="4" l="1"/>
  <c r="F79" i="4" l="1"/>
  <c r="F80" i="4" l="1"/>
  <c r="F81" i="4" l="1"/>
  <c r="F82" i="4" l="1"/>
  <c r="F83" i="4" l="1"/>
  <c r="F84" i="4" l="1"/>
  <c r="F85" i="4" l="1"/>
  <c r="F95" i="4" l="1"/>
  <c r="F96" i="4" l="1"/>
  <c r="F97" i="4" l="1"/>
  <c r="F98" i="4" l="1"/>
  <c r="F99" i="4" l="1"/>
  <c r="F100" i="4" l="1"/>
  <c r="F101" i="4" l="1"/>
  <c r="F102" i="4" l="1"/>
  <c r="F103" i="4" l="1"/>
  <c r="F104" i="4" l="1"/>
  <c r="F105" i="4" l="1"/>
  <c r="F106" i="4" l="1"/>
  <c r="F107" i="4" l="1"/>
  <c r="F108" i="4" l="1"/>
  <c r="F109" i="4" l="1"/>
  <c r="F110" i="4" l="1"/>
  <c r="F111" i="4" l="1"/>
  <c r="F112" i="4" l="1"/>
  <c r="F137" i="4" l="1"/>
  <c r="F138" i="4" l="1"/>
  <c r="F139" i="4" l="1"/>
  <c r="F140" i="4" l="1"/>
  <c r="F141" i="4" l="1"/>
  <c r="F142" i="4" l="1"/>
  <c r="F143" i="4" l="1"/>
  <c r="F144" i="4" l="1"/>
  <c r="F145" i="4" l="1"/>
  <c r="F146" i="4" l="1"/>
  <c r="F147" i="4" l="1"/>
  <c r="F148" i="4" l="1"/>
  <c r="F149" i="4" l="1"/>
  <c r="F156" i="4" l="1"/>
  <c r="F157" i="4" l="1"/>
  <c r="F158" i="4" l="1"/>
  <c r="F159" i="4" l="1"/>
  <c r="F160" i="4" l="1"/>
  <c r="F161" i="4" l="1"/>
  <c r="F162" i="4" l="1"/>
  <c r="F163" i="4" l="1"/>
  <c r="F164" i="4" l="1"/>
  <c r="F165" i="4" l="1"/>
  <c r="F166" i="4" l="1"/>
  <c r="F167" i="4" l="1"/>
  <c r="F168" i="4" l="1"/>
  <c r="F169" i="4" l="1"/>
  <c r="F170" i="4" l="1"/>
  <c r="F171" i="4" l="1"/>
  <c r="F172" i="4" l="1"/>
  <c r="F173" i="4" l="1"/>
  <c r="F174" i="4" l="1"/>
  <c r="F177" i="4" l="1"/>
  <c r="F178" i="4" l="1"/>
  <c r="F179" i="4" l="1"/>
  <c r="F180" i="4" l="1"/>
  <c r="F181" i="4" l="1"/>
  <c r="F182" i="4" l="1"/>
  <c r="F183" i="4" l="1"/>
  <c r="F184" i="4" l="1"/>
  <c r="F185" i="4" l="1"/>
  <c r="F186" i="4" l="1"/>
  <c r="F190" i="4" l="1"/>
  <c r="F191" i="4" l="1"/>
  <c r="F192" i="4" l="1"/>
  <c r="F193" i="4" l="1"/>
  <c r="F194" i="4" l="1"/>
  <c r="F195" i="4" l="1"/>
  <c r="F196" i="4" l="1"/>
  <c r="F197" i="4" l="1"/>
  <c r="F198" i="4" l="1"/>
  <c r="F199" i="4" l="1"/>
  <c r="F200" i="4" l="1"/>
  <c r="F201" i="4" l="1"/>
  <c r="F206" i="4" l="1"/>
  <c r="F207" i="4" l="1"/>
  <c r="F208" i="4" l="1"/>
  <c r="F209" i="4" l="1"/>
  <c r="F210" i="4" l="1"/>
  <c r="F211" i="4" l="1"/>
  <c r="F212" i="4" l="1"/>
  <c r="F213" i="4" l="1"/>
  <c r="F222" i="4" l="1"/>
  <c r="F223" i="4" l="1"/>
  <c r="F224" i="4" l="1"/>
  <c r="F225" i="4" l="1"/>
  <c r="F226" i="4" l="1"/>
  <c r="F227" i="4" l="1"/>
  <c r="F228" i="4" l="1"/>
  <c r="F229" i="4" l="1"/>
  <c r="F230" i="4" l="1"/>
  <c r="F231" i="4" l="1"/>
  <c r="F232" i="4" l="1"/>
  <c r="F233" i="4" l="1"/>
  <c r="F234" i="4" l="1"/>
  <c r="F247" i="4" l="1"/>
  <c r="F248" i="4" l="1"/>
  <c r="F249" i="4" l="1"/>
  <c r="F250" i="4" l="1"/>
  <c r="F251" i="4" l="1"/>
  <c r="F252" i="4" l="1"/>
  <c r="F253" i="4" l="1"/>
  <c r="F254" i="4" l="1"/>
  <c r="F255" i="4" l="1"/>
  <c r="F256" i="4" l="1"/>
  <c r="F257" i="4" l="1"/>
  <c r="F274" i="4" l="1"/>
  <c r="F275" i="4" l="1"/>
  <c r="F276" i="4" l="1"/>
  <c r="F277" i="4" l="1"/>
  <c r="F278" i="4" l="1"/>
  <c r="F279" i="4" l="1"/>
  <c r="F280" i="4" l="1"/>
  <c r="F281" i="4" l="1"/>
  <c r="F282" i="4" l="1"/>
  <c r="F283" i="4" l="1"/>
  <c r="F284" i="4" l="1"/>
  <c r="F285" i="4" l="1"/>
  <c r="F286" i="4" l="1"/>
  <c r="F287" i="4" l="1"/>
  <c r="F288" i="4" l="1"/>
  <c r="F289" i="4" l="1"/>
  <c r="F290" i="4" l="1"/>
  <c r="F291" i="4" l="1"/>
  <c r="F292" i="4" l="1"/>
  <c r="F293" i="4" l="1"/>
  <c r="F294" i="4" l="1"/>
  <c r="F296" i="4" l="1"/>
  <c r="F299" i="4" l="1"/>
  <c r="F300" i="4"/>
  <c r="F301" i="4" l="1"/>
  <c r="F10" i="4"/>
  <c r="F304" i="4" l="1"/>
  <c r="F303" i="4"/>
  <c r="F302" i="4"/>
  <c r="F11" i="4" l="1"/>
  <c r="F305" i="4"/>
  <c r="F306" i="4" l="1"/>
  <c r="F12" i="4" l="1"/>
  <c r="F314" i="4"/>
  <c r="F315" i="4" l="1"/>
  <c r="F13" i="4" l="1"/>
  <c r="F316" i="4"/>
  <c r="F317" i="4" l="1"/>
  <c r="F14" i="4" l="1"/>
  <c r="F318" i="4"/>
  <c r="F319" i="4" l="1"/>
  <c r="F15" i="4" l="1"/>
  <c r="F320" i="4"/>
  <c r="F321" i="4" l="1"/>
  <c r="F322" i="4" l="1"/>
  <c r="F323" i="4" l="1"/>
  <c r="F324" i="4" l="1"/>
  <c r="F325" i="4" l="1"/>
  <c r="F326" i="4" l="1"/>
  <c r="F335" i="4" l="1"/>
  <c r="F336" i="4" l="1"/>
  <c r="F337" i="4" l="1"/>
  <c r="F338" i="4" l="1"/>
  <c r="F339" i="4" l="1"/>
  <c r="F340" i="4" l="1"/>
  <c r="F341" i="4" l="1"/>
  <c r="F342" i="4" l="1"/>
  <c r="F344" i="4" l="1"/>
  <c r="F343" i="4"/>
  <c r="F345" i="4"/>
  <c r="F346" i="4" l="1"/>
  <c r="F347" i="4" l="1"/>
  <c r="F348" i="4" l="1"/>
  <c r="F349" i="4" l="1"/>
  <c r="F350" i="4" l="1"/>
  <c r="F351" i="4" l="1"/>
  <c r="F352" i="4" l="1"/>
  <c r="F353" i="4" l="1"/>
  <c r="F354" i="4" l="1"/>
  <c r="F355" i="4" l="1"/>
  <c r="F360" i="4"/>
  <c r="F356" i="4" l="1"/>
  <c r="F357" i="4"/>
  <c r="F361" i="4" l="1"/>
  <c r="F362" i="4" l="1"/>
  <c r="F363" i="4" l="1"/>
  <c r="F364" i="4" l="1"/>
  <c r="F365" i="4" l="1"/>
  <c r="F371" i="4" l="1"/>
  <c r="F367" i="4"/>
  <c r="F366" i="4"/>
  <c r="F375" i="4" l="1"/>
  <c r="F376" i="4" l="1"/>
  <c r="F377" i="4" l="1"/>
  <c r="F378" i="4" l="1"/>
  <c r="F379" i="4" l="1"/>
  <c r="F380" i="4" l="1"/>
  <c r="F381" i="4" l="1"/>
  <c r="F384" i="4"/>
  <c r="F382" i="4" l="1"/>
  <c r="F386" i="4"/>
  <c r="F383" i="4" l="1"/>
  <c r="F387" i="4" l="1"/>
  <c r="F389" i="4" l="1"/>
  <c r="F388" i="4"/>
  <c r="F391" i="4"/>
  <c r="F392" i="4" l="1"/>
  <c r="F395" i="4" l="1"/>
  <c r="F396" i="4" l="1"/>
  <c r="F397" i="4" l="1"/>
  <c r="F398" i="4" l="1"/>
  <c r="F399" i="4" l="1"/>
  <c r="F400" i="4" l="1"/>
  <c r="F401" i="4" l="1"/>
  <c r="F402" i="4" l="1"/>
  <c r="F403" i="4" l="1"/>
  <c r="F404" i="4" l="1"/>
  <c r="F405" i="4" l="1"/>
  <c r="F406" i="4" l="1"/>
  <c r="F407" i="4" l="1"/>
  <c r="F408" i="4" l="1"/>
  <c r="F409" i="4" l="1"/>
  <c r="F410" i="4" l="1"/>
  <c r="F411" i="4" l="1"/>
  <c r="F412" i="4" l="1"/>
  <c r="F413" i="4" l="1"/>
  <c r="F414" i="4" l="1"/>
  <c r="F415" i="4" l="1"/>
  <c r="F416" i="4" l="1"/>
  <c r="F417" i="4" l="1"/>
  <c r="F418" i="4" l="1"/>
  <c r="F419" i="4" l="1"/>
  <c r="F420" i="4" l="1"/>
  <c r="F421" i="4" l="1"/>
  <c r="F422" i="4" l="1"/>
  <c r="F423" i="4" l="1"/>
  <c r="F424" i="4" l="1"/>
  <c r="F427" i="4"/>
  <c r="F425" i="4" l="1"/>
  <c r="F426" i="4"/>
  <c r="F432" i="4" l="1"/>
  <c r="F433" i="4" l="1"/>
  <c r="F434" i="4" l="1"/>
  <c r="F436" i="4" l="1"/>
  <c r="F435" i="4"/>
  <c r="F437" i="4"/>
  <c r="F440" i="4" l="1"/>
  <c r="F441" i="4" l="1"/>
  <c r="F443" i="4" l="1"/>
  <c r="F442" i="4"/>
  <c r="F444" i="4"/>
  <c r="F445" i="4" l="1"/>
  <c r="F446" i="4" l="1"/>
  <c r="F447" i="4" l="1"/>
  <c r="F448" i="4" l="1"/>
  <c r="F449" i="4" l="1"/>
  <c r="F450" i="4" l="1"/>
  <c r="F451" i="4" l="1"/>
  <c r="F452" i="4" l="1"/>
  <c r="F456" i="4" l="1"/>
  <c r="F457" i="4" l="1"/>
  <c r="F458" i="4" l="1"/>
  <c r="F461" i="4"/>
  <c r="F459" i="4" l="1"/>
  <c r="F462" i="4"/>
  <c r="F460" i="4" l="1"/>
  <c r="F463" i="4" l="1"/>
  <c r="F467" i="4" l="1"/>
  <c r="F468" i="4" l="1"/>
  <c r="F469" i="4" l="1"/>
  <c r="F476" i="4"/>
  <c r="F474" i="4" l="1"/>
  <c r="F475" i="4"/>
  <c r="F477" i="4" l="1"/>
  <c r="F478" i="4" l="1"/>
  <c r="F484" i="4" l="1"/>
  <c r="F479" i="4"/>
  <c r="F485" i="4"/>
  <c r="F486" i="4" l="1"/>
  <c r="F480" i="4"/>
  <c r="F487" i="4"/>
  <c r="F488" i="4" l="1"/>
  <c r="F489" i="4" l="1"/>
  <c r="F490" i="4" l="1"/>
  <c r="F491" i="4" l="1"/>
  <c r="F497" i="4" l="1"/>
  <c r="F498" i="4" l="1"/>
  <c r="F499" i="4" l="1"/>
  <c r="F502" i="4"/>
  <c r="F500" i="4" l="1"/>
  <c r="F501" i="4"/>
  <c r="F503" i="4" l="1"/>
  <c r="F507" i="4" l="1"/>
  <c r="F509" i="4" l="1"/>
  <c r="F508" i="4"/>
  <c r="F510" i="4"/>
  <c r="F511" i="4" l="1"/>
  <c r="F512" i="4" l="1"/>
  <c r="F513" i="4" l="1"/>
  <c r="F514" i="4" l="1"/>
  <c r="F517" i="4" l="1"/>
  <c r="F518" i="4" l="1"/>
  <c r="F519" i="4" l="1"/>
  <c r="F520" i="4" l="1"/>
  <c r="F521" i="4" l="1"/>
  <c r="F522" i="4" l="1"/>
  <c r="F523" i="4" l="1"/>
  <c r="F524" i="4" l="1"/>
  <c r="F525" i="4" l="1"/>
  <c r="F526" i="4" l="1"/>
  <c r="F527" i="4" l="1"/>
  <c r="F528" i="4" l="1"/>
  <c r="F529" i="4" l="1"/>
  <c r="F530" i="4" l="1"/>
  <c r="F531" i="4" l="1"/>
  <c r="F532" i="4" l="1"/>
  <c r="F533" i="4" l="1"/>
  <c r="F534" i="4" l="1"/>
  <c r="F535" i="4" l="1"/>
  <c r="F536" i="4" l="1"/>
  <c r="F539" i="4" l="1"/>
  <c r="F537" i="4"/>
  <c r="F540" i="4" l="1"/>
  <c r="F538" i="4"/>
  <c r="F563" i="4"/>
  <c r="F541" i="4" l="1"/>
  <c r="F569" i="4"/>
  <c r="F566" i="4"/>
  <c r="F564" i="4"/>
  <c r="F570" i="4" l="1"/>
  <c r="F567" i="4"/>
  <c r="F565" i="4"/>
  <c r="F568" i="4" l="1"/>
  <c r="F571" i="4" l="1"/>
  <c r="F572" i="4" l="1"/>
  <c r="F573" i="4" l="1"/>
  <c r="F574" i="4" l="1"/>
  <c r="F575" i="4" l="1"/>
  <c r="F583" i="4"/>
  <c r="F577" i="4"/>
  <c r="F588" i="4" l="1"/>
  <c r="F585" i="4"/>
  <c r="F586" i="4"/>
  <c r="F587" i="4"/>
  <c r="F584" i="4"/>
  <c r="F576" i="4"/>
  <c r="F589" i="4" l="1"/>
  <c r="F590" i="4" l="1"/>
  <c r="F591" i="4" l="1"/>
  <c r="F592" i="4" l="1"/>
  <c r="F593" i="4" l="1"/>
  <c r="F594" i="4" l="1"/>
  <c r="F596" i="4" l="1"/>
  <c r="F595" i="4"/>
</calcChain>
</file>

<file path=xl/comments1.xml><?xml version="1.0" encoding="utf-8"?>
<comments xmlns="http://schemas.openxmlformats.org/spreadsheetml/2006/main">
  <authors>
    <author>Gerardo Tordoya</author>
  </authors>
  <commentList>
    <comment ref="K5" authorId="0">
      <text>
        <r>
          <rPr>
            <b/>
            <sz val="9"/>
            <color indexed="81"/>
            <rFont val="Tahoma"/>
            <charset val="1"/>
          </rPr>
          <t>Gerardo Tordoya:</t>
        </r>
        <r>
          <rPr>
            <sz val="9"/>
            <color indexed="81"/>
            <rFont val="Tahoma"/>
            <charset val="1"/>
          </rPr>
          <t xml:space="preserve">
Ocultar para evitar atrapamiento</t>
        </r>
      </text>
    </comment>
  </commentList>
</comments>
</file>

<file path=xl/comments2.xml><?xml version="1.0" encoding="utf-8"?>
<comments xmlns="http://schemas.openxmlformats.org/spreadsheetml/2006/main">
  <authors>
    <author>Gerardo Tordoya</author>
  </authors>
  <commentList>
    <comment ref="K5" authorId="0">
      <text>
        <r>
          <rPr>
            <b/>
            <sz val="9"/>
            <color indexed="81"/>
            <rFont val="Tahoma"/>
            <charset val="1"/>
          </rPr>
          <t>Gerardo Tordoya:</t>
        </r>
        <r>
          <rPr>
            <sz val="9"/>
            <color indexed="81"/>
            <rFont val="Tahoma"/>
            <charset val="1"/>
          </rPr>
          <t xml:space="preserve">
Ocultar para evitar atrapamiento</t>
        </r>
      </text>
    </comment>
  </commentList>
</comments>
</file>

<file path=xl/comments3.xml><?xml version="1.0" encoding="utf-8"?>
<comments xmlns="http://schemas.openxmlformats.org/spreadsheetml/2006/main">
  <authors>
    <author>Gerardo Tordoya</author>
  </authors>
  <commentList>
    <comment ref="K5" authorId="0">
      <text>
        <r>
          <rPr>
            <b/>
            <sz val="9"/>
            <color indexed="81"/>
            <rFont val="Tahoma"/>
            <charset val="1"/>
          </rPr>
          <t>Gerardo Tordoya:</t>
        </r>
        <r>
          <rPr>
            <sz val="9"/>
            <color indexed="81"/>
            <rFont val="Tahoma"/>
            <charset val="1"/>
          </rPr>
          <t xml:space="preserve">
Ocultar para evitar atrapamiento</t>
        </r>
      </text>
    </comment>
  </commentList>
</comments>
</file>

<file path=xl/sharedStrings.xml><?xml version="1.0" encoding="utf-8"?>
<sst xmlns="http://schemas.openxmlformats.org/spreadsheetml/2006/main" count="1334" uniqueCount="356">
  <si>
    <t>ORIGEN</t>
  </si>
  <si>
    <t>EMISION</t>
  </si>
  <si>
    <t>NUMERO</t>
  </si>
  <si>
    <t>IMPORTE</t>
  </si>
  <si>
    <t>VTO.</t>
  </si>
  <si>
    <t>SALDO</t>
  </si>
  <si>
    <t>OBSERVACIONES</t>
  </si>
  <si>
    <t>CONDICION</t>
  </si>
  <si>
    <t>CHEQUERA</t>
  </si>
  <si>
    <t>CTA. 004-000075/0 RIVAROLA RUBEN ARMANDO CBU 3410002602000400007502</t>
  </si>
  <si>
    <t>RR CHEQUE</t>
  </si>
  <si>
    <t>SUELDO</t>
  </si>
  <si>
    <t>EFECTIVO</t>
  </si>
  <si>
    <t>EFECTIVO SALTA</t>
  </si>
  <si>
    <t>EFECTIVO RR (H)</t>
  </si>
  <si>
    <t>EFECTIVO RR</t>
  </si>
  <si>
    <t>MACRO 68034427</t>
  </si>
  <si>
    <t>MACRO 71690051</t>
  </si>
  <si>
    <t>MACRO 33335389</t>
  </si>
  <si>
    <t>MACRO 33335387</t>
  </si>
  <si>
    <t>MACRO 33335392</t>
  </si>
  <si>
    <t>MACRO 33335390</t>
  </si>
  <si>
    <t>MACRO 33335394</t>
  </si>
  <si>
    <t>MACRO 33335393</t>
  </si>
  <si>
    <t>MACRO 33335391</t>
  </si>
  <si>
    <t>MACRO 33335395</t>
  </si>
  <si>
    <t>MACRO 33335388</t>
  </si>
  <si>
    <t>RETROACT. DIC/16</t>
  </si>
  <si>
    <t>MACRO 62423104</t>
  </si>
  <si>
    <t>MACRO 69860605</t>
  </si>
  <si>
    <t>MACRO 68034561 MUNICIP./LIMSA</t>
  </si>
  <si>
    <t>PCIA.BS.AS. 34748929</t>
  </si>
  <si>
    <t>MACRO 68034687</t>
  </si>
  <si>
    <t>INDUSTRIAL 13217998</t>
  </si>
  <si>
    <t>INDUSTRIAL 13217997</t>
  </si>
  <si>
    <t>INDUSTRIAL 13218001</t>
  </si>
  <si>
    <t>INDUSTRIAL 12682927</t>
  </si>
  <si>
    <t>INDUSTRIAL 12682975</t>
  </si>
  <si>
    <t>INDUSTRIAL 12682941</t>
  </si>
  <si>
    <t>INDUSTRIAL 12682939</t>
  </si>
  <si>
    <t>EFECTIVO SALTA RR (H)</t>
  </si>
  <si>
    <t>INDUSTRIAL 12682995</t>
  </si>
  <si>
    <t>MACRO 63846035</t>
  </si>
  <si>
    <t>INDUSTRIAL 13218003</t>
  </si>
  <si>
    <t>INDUSTRIAL 13218002</t>
  </si>
  <si>
    <t>MACRO 72144812 BLOQ.DIP/RR</t>
  </si>
  <si>
    <t>MACRO 72144813 BLOQ.DIP/RR</t>
  </si>
  <si>
    <t>MACRO 70989904</t>
  </si>
  <si>
    <t>INDUSTRIAL 13218008</t>
  </si>
  <si>
    <t>HSBC 54810287 VOLKER H./RR</t>
  </si>
  <si>
    <t>MACRO 74565874 TRAME/RR</t>
  </si>
  <si>
    <t>MACRO 33335399 IVUJ/EDITORA</t>
  </si>
  <si>
    <t>MACRO 33335401 IVUJ/EDITORA</t>
  </si>
  <si>
    <t>MACRO 33335396 IVUJ/EDITORA</t>
  </si>
  <si>
    <t>AGO/17 Y RETROACT.ENE/17</t>
  </si>
  <si>
    <t>MACRO 51681384</t>
  </si>
  <si>
    <t>MACRO 69860716</t>
  </si>
  <si>
    <t>MACRO 51681385</t>
  </si>
  <si>
    <t>MACRO 68034955 MUNICIP.SSJ/LIMSA</t>
  </si>
  <si>
    <t>MACRO 68034954 MUNICIP.SSJ/LIMSA</t>
  </si>
  <si>
    <t>MACRO 68064956 MUNICIP.SSJ/LIMSA</t>
  </si>
  <si>
    <t>MACRO 68034953 MUNICIP.SSJ/LIMSA</t>
  </si>
  <si>
    <t>MACRO 68035079 MUNICIP.SSJ/ECCI</t>
  </si>
  <si>
    <t>MACRO 44628531</t>
  </si>
  <si>
    <t>INDUSTRIAL 13218013</t>
  </si>
  <si>
    <t>MACRO 73745873</t>
  </si>
  <si>
    <t>MACRO 71274516</t>
  </si>
  <si>
    <t>MACRO 73745872</t>
  </si>
  <si>
    <t>HSBC 54711463</t>
  </si>
  <si>
    <t>MACRO 66493074</t>
  </si>
  <si>
    <t>MACRO 51681387</t>
  </si>
  <si>
    <t>MACRO 51681560</t>
  </si>
  <si>
    <t>INDUSTRIAL 12756861</t>
  </si>
  <si>
    <t>INDUSTRIAL 13218026</t>
  </si>
  <si>
    <t>MACRO 74950858</t>
  </si>
  <si>
    <t>INDUSTRIAL 13218027 M.SEGURA/R.E.RIVAROLA</t>
  </si>
  <si>
    <t>MACRO 68035388 MUNICIP./ECCI</t>
  </si>
  <si>
    <t>CREDITO</t>
  </si>
  <si>
    <t>GOB.DE LA PROVINCIA</t>
  </si>
  <si>
    <t>MACRO 51681469</t>
  </si>
  <si>
    <t>INDUSTRIAL 13218029</t>
  </si>
  <si>
    <t>INDUSTRIAL 12756955</t>
  </si>
  <si>
    <t>INDUSTRIAL 12756964</t>
  </si>
  <si>
    <t>Impuesto al débito</t>
  </si>
  <si>
    <t>Impuesto al crédito</t>
  </si>
  <si>
    <t>Débito Tarjeta Crédito</t>
  </si>
  <si>
    <t>Master Card Black</t>
  </si>
  <si>
    <t>Cuota 03 de 06</t>
  </si>
  <si>
    <t>Cuota 04 de 06</t>
  </si>
  <si>
    <t>Cuota 05 de 06</t>
  </si>
  <si>
    <t>Cuota 06 de 06</t>
  </si>
  <si>
    <t>J488066 IVA NOV/11 GCIAS/11</t>
  </si>
  <si>
    <t xml:space="preserve">s/ch. </t>
  </si>
  <si>
    <t>J899999 GCIAS/2016</t>
  </si>
  <si>
    <t>Cuota 07 de 60</t>
  </si>
  <si>
    <t>Cuota 02 de 06</t>
  </si>
  <si>
    <t>Cuota 08 de 60</t>
  </si>
  <si>
    <t>Cuota 09 de 60</t>
  </si>
  <si>
    <t>Cuota 10 de 60</t>
  </si>
  <si>
    <t>Cuota 11 de 60</t>
  </si>
  <si>
    <t>Cuota 12 de 60</t>
  </si>
  <si>
    <t>Cuota 13 de 60</t>
  </si>
  <si>
    <t>Cuota 14 de 60</t>
  </si>
  <si>
    <t>Cuota 15 de 60</t>
  </si>
  <si>
    <t>Cuota 16 de 60</t>
  </si>
  <si>
    <t>Cuota 17 de 60</t>
  </si>
  <si>
    <t>Cuota 18 de 60</t>
  </si>
  <si>
    <t>Cuota 19 de 60</t>
  </si>
  <si>
    <t>Cuota 20 de 60</t>
  </si>
  <si>
    <t>Cuota 21 de 60</t>
  </si>
  <si>
    <t>Cuota 22 de 60</t>
  </si>
  <si>
    <t>Cuota 23 de 60</t>
  </si>
  <si>
    <t>Cuota 24 de 60</t>
  </si>
  <si>
    <t>Cuota 25 de 60</t>
  </si>
  <si>
    <t>Cuota 26 de 60</t>
  </si>
  <si>
    <t>Cuota 27 de 60</t>
  </si>
  <si>
    <t>Cuota 28 de 60</t>
  </si>
  <si>
    <t>Cuota 29 de 60</t>
  </si>
  <si>
    <t>Cuota 30 de 60</t>
  </si>
  <si>
    <t>Cuota 31 de 60</t>
  </si>
  <si>
    <t>Cuota 32 de 60</t>
  </si>
  <si>
    <t>Cuota 33 de 60</t>
  </si>
  <si>
    <t>Cuota 34 de 60</t>
  </si>
  <si>
    <t>Cuota 35 de 60</t>
  </si>
  <si>
    <t>Cuota 36 de 60</t>
  </si>
  <si>
    <t>Cuota 37 de 60</t>
  </si>
  <si>
    <t>Cuota 38 de 60</t>
  </si>
  <si>
    <t>Cuota 39 de 60</t>
  </si>
  <si>
    <t>Cuota 40 de 60</t>
  </si>
  <si>
    <t>Cuota 41 de 60</t>
  </si>
  <si>
    <t>Cuota 42 de 60</t>
  </si>
  <si>
    <t>Cuota 43 de 60</t>
  </si>
  <si>
    <t>Cuota 44 de 60</t>
  </si>
  <si>
    <t>Cuota 45 de 60</t>
  </si>
  <si>
    <t>Cuota 46 de 60</t>
  </si>
  <si>
    <t>Cuota 47 de 60</t>
  </si>
  <si>
    <t>Cuota 48 de 60</t>
  </si>
  <si>
    <t>Cuota 49 de 60</t>
  </si>
  <si>
    <t>Cuota 50 de 60</t>
  </si>
  <si>
    <t>Cuota 51 de 60</t>
  </si>
  <si>
    <t>Cuota 52 de 60</t>
  </si>
  <si>
    <t>Cuota 53 de 60</t>
  </si>
  <si>
    <t>Cuota 54 de 60</t>
  </si>
  <si>
    <t>Cuota 55 de 60</t>
  </si>
  <si>
    <t>Cuota 56 de 60</t>
  </si>
  <si>
    <t>Cuota 57 de 60</t>
  </si>
  <si>
    <t>Cuota 58 de 60</t>
  </si>
  <si>
    <t>Cuota 59 de 60</t>
  </si>
  <si>
    <t>Cuota 60 de 60</t>
  </si>
  <si>
    <t>MACRO 76349687 TRAME / RR</t>
  </si>
  <si>
    <t>MACRO 51681472</t>
  </si>
  <si>
    <t>INDUSTRIAL 12756969</t>
  </si>
  <si>
    <t>INDUSTRIAL 13218032</t>
  </si>
  <si>
    <t>MACRO 33335411</t>
  </si>
  <si>
    <t>Pago P/Link Cont.Ob.Soc.09/2017</t>
  </si>
  <si>
    <t>Pago P/Link Int.Res.Cont.Ob.Soc.</t>
  </si>
  <si>
    <t>Pago P/Link ART 09/2017</t>
  </si>
  <si>
    <t>Pago P/Link Int.Res.ART 09/2017</t>
  </si>
  <si>
    <t>Pago P/Link Seg.Vida Colect.</t>
  </si>
  <si>
    <t>s/ch. 01656244</t>
  </si>
  <si>
    <t>s/ch. 01670187</t>
  </si>
  <si>
    <t>Anulado</t>
  </si>
  <si>
    <t>RR</t>
  </si>
  <si>
    <t>Afip</t>
  </si>
  <si>
    <t>Rr</t>
  </si>
  <si>
    <t>Neumaticos Jujuy SA</t>
  </si>
  <si>
    <t/>
  </si>
  <si>
    <t xml:space="preserve">Dante Velazquez </t>
  </si>
  <si>
    <t>Cabezas Mónica</t>
  </si>
  <si>
    <t>Colornet SRL</t>
  </si>
  <si>
    <t>Alcaraz</t>
  </si>
  <si>
    <t>Diesel Jujuy SRL</t>
  </si>
  <si>
    <t>01656320</t>
  </si>
  <si>
    <t>Horizontes fact.RR 07/09/2017</t>
  </si>
  <si>
    <t>01656321</t>
  </si>
  <si>
    <t>Horizontes fact.RR 12/09/2017</t>
  </si>
  <si>
    <t>01656322</t>
  </si>
  <si>
    <t>01656323</t>
  </si>
  <si>
    <t>01656324</t>
  </si>
  <si>
    <t>01656325</t>
  </si>
  <si>
    <t>01656326</t>
  </si>
  <si>
    <t>Nova Informática</t>
  </si>
  <si>
    <t>01656327</t>
  </si>
  <si>
    <t>01656328</t>
  </si>
  <si>
    <t>01656329</t>
  </si>
  <si>
    <t>01656330</t>
  </si>
  <si>
    <t>01656331</t>
  </si>
  <si>
    <t>01656332</t>
  </si>
  <si>
    <t>01656333</t>
  </si>
  <si>
    <t>01656334</t>
  </si>
  <si>
    <t>Rr 25/08/2017</t>
  </si>
  <si>
    <t>01656335</t>
  </si>
  <si>
    <t>Rr 02/09/2017</t>
  </si>
  <si>
    <t>01656337</t>
  </si>
  <si>
    <t>01656338</t>
  </si>
  <si>
    <t>Pablo Lavilla 28/08/2017</t>
  </si>
  <si>
    <t>01656339</t>
  </si>
  <si>
    <t>01656340</t>
  </si>
  <si>
    <t>Alvarez</t>
  </si>
  <si>
    <t>01656342</t>
  </si>
  <si>
    <t>Editora</t>
  </si>
  <si>
    <t>01656343</t>
  </si>
  <si>
    <t>01656344</t>
  </si>
  <si>
    <t>Rr 30/08/2017</t>
  </si>
  <si>
    <t>01670176</t>
  </si>
  <si>
    <t>Grupo Salta SRL 25/09/2017</t>
  </si>
  <si>
    <t>lh</t>
  </si>
  <si>
    <t>01670177</t>
  </si>
  <si>
    <t>Lucas Mico 26/09/2017</t>
  </si>
  <si>
    <t>01670178</t>
  </si>
  <si>
    <t>01670179</t>
  </si>
  <si>
    <t>01670180</t>
  </si>
  <si>
    <t>Concesionaria Aut.Pes. 17/08/17</t>
  </si>
  <si>
    <t>01670181</t>
  </si>
  <si>
    <t>Lucas Mico 17/09/2017</t>
  </si>
  <si>
    <t>01670182</t>
  </si>
  <si>
    <t>Col.J.Hernandez 17/08/2017</t>
  </si>
  <si>
    <t>01670183</t>
  </si>
  <si>
    <t>Cisneros Julia Inés 05/09/2017</t>
  </si>
  <si>
    <t>01670184</t>
  </si>
  <si>
    <t>F931 Ago/17 12/09/2017</t>
  </si>
  <si>
    <t>01670185</t>
  </si>
  <si>
    <t>Federac.Camioneros Ago/17 12/09/17</t>
  </si>
  <si>
    <t>01670186</t>
  </si>
  <si>
    <t>Sind.Camioneros Ago/17 12/09/17</t>
  </si>
  <si>
    <t>01670187</t>
  </si>
  <si>
    <t>Colornet SRL 10/10/2017</t>
  </si>
  <si>
    <t>01670188</t>
  </si>
  <si>
    <t>Mediterranea Diesel SRL 12/10/17</t>
  </si>
  <si>
    <t>01670189</t>
  </si>
  <si>
    <t>Neumaticos Jujuy SA 11/10/2017</t>
  </si>
  <si>
    <t>01670190</t>
  </si>
  <si>
    <t>01670191</t>
  </si>
  <si>
    <t>Pioli Edi Del Valle 11/01/2017</t>
  </si>
  <si>
    <t>01670192</t>
  </si>
  <si>
    <t>Pioli Edi Del Valle</t>
  </si>
  <si>
    <t>01670193</t>
  </si>
  <si>
    <t>Babnik SA 16/09/2017</t>
  </si>
  <si>
    <t>01670194</t>
  </si>
  <si>
    <t>Alberti Gonzalez Adolfo</t>
  </si>
  <si>
    <t>01670195</t>
  </si>
  <si>
    <t>Alarcón Silvio Roberto 26/09/2017</t>
  </si>
  <si>
    <t>01670196</t>
  </si>
  <si>
    <t>01670197</t>
  </si>
  <si>
    <t>Fernandez Fabiola Vanesa</t>
  </si>
  <si>
    <t>01670198</t>
  </si>
  <si>
    <t>01670199</t>
  </si>
  <si>
    <t>Metalurgica Ramón SRL</t>
  </si>
  <si>
    <t>01670200</t>
  </si>
  <si>
    <t>01670201</t>
  </si>
  <si>
    <t>01670202</t>
  </si>
  <si>
    <t>Cisneros Julia Inés</t>
  </si>
  <si>
    <t>01670203</t>
  </si>
  <si>
    <t>Milenium SRL 11/10/2017</t>
  </si>
  <si>
    <t>01670204</t>
  </si>
  <si>
    <t>Cons.Aut.Pesados SA 18/09/2017</t>
  </si>
  <si>
    <t>01670205</t>
  </si>
  <si>
    <t>Acero SRL 11/10/2017</t>
  </si>
  <si>
    <t>01670206</t>
  </si>
  <si>
    <t>Acero SRL</t>
  </si>
  <si>
    <t>01670207</t>
  </si>
  <si>
    <t>Repuestos Pesados SRL 11/10/2017</t>
  </si>
  <si>
    <t>01670208</t>
  </si>
  <si>
    <t>Camaras Radio</t>
  </si>
  <si>
    <t>01670209</t>
  </si>
  <si>
    <t>01670210</t>
  </si>
  <si>
    <t>01670211</t>
  </si>
  <si>
    <t>01670213</t>
  </si>
  <si>
    <t>Sur SRL</t>
  </si>
  <si>
    <t>01670214</t>
  </si>
  <si>
    <t>01670215</t>
  </si>
  <si>
    <t>RR Martha 29/09/2017</t>
  </si>
  <si>
    <t>01670216</t>
  </si>
  <si>
    <t>01670217</t>
  </si>
  <si>
    <t>Claudio Gestor</t>
  </si>
  <si>
    <t>01670218</t>
  </si>
  <si>
    <t>Pipi 03/08/2017</t>
  </si>
  <si>
    <t>01670219</t>
  </si>
  <si>
    <t>Alquiler Ledesma</t>
  </si>
  <si>
    <t>01670221</t>
  </si>
  <si>
    <t>Lombardi Camiones SA</t>
  </si>
  <si>
    <t>01670222</t>
  </si>
  <si>
    <t>01670224</t>
  </si>
  <si>
    <t>01670225</t>
  </si>
  <si>
    <t>01670226</t>
  </si>
  <si>
    <t>Direcc.Prov.Rentas 19/09/2017</t>
  </si>
  <si>
    <t>01670227</t>
  </si>
  <si>
    <t>01670228</t>
  </si>
  <si>
    <t>Bienes Personales sep/17</t>
  </si>
  <si>
    <t>01670229</t>
  </si>
  <si>
    <t>01670230</t>
  </si>
  <si>
    <t>01670231</t>
  </si>
  <si>
    <t>01670232</t>
  </si>
  <si>
    <t>01670233</t>
  </si>
  <si>
    <t>01670234</t>
  </si>
  <si>
    <t>01670235</t>
  </si>
  <si>
    <t>01670236</t>
  </si>
  <si>
    <t>Bonillo Daniel H.</t>
  </si>
  <si>
    <t>01670241</t>
  </si>
  <si>
    <t>Rojas Juan</t>
  </si>
  <si>
    <t>01670243</t>
  </si>
  <si>
    <t>01670244</t>
  </si>
  <si>
    <t>01670245</t>
  </si>
  <si>
    <t>01670246</t>
  </si>
  <si>
    <t>01670247</t>
  </si>
  <si>
    <t>Pioli Edi del Valle</t>
  </si>
  <si>
    <t>01670248</t>
  </si>
  <si>
    <t>01670249</t>
  </si>
  <si>
    <t>01670250</t>
  </si>
  <si>
    <t>01670251</t>
  </si>
  <si>
    <t>01670252</t>
  </si>
  <si>
    <t>Repuestos Pesados SRL</t>
  </si>
  <si>
    <t>01670253</t>
  </si>
  <si>
    <t>El Mundo de Las Herramientas</t>
  </si>
  <si>
    <t>01670254</t>
  </si>
  <si>
    <t>Jujuy Hierros SA</t>
  </si>
  <si>
    <t>01670255</t>
  </si>
  <si>
    <t>Sind.Camioneros 12/10/2017</t>
  </si>
  <si>
    <t>01670256</t>
  </si>
  <si>
    <t>Federac.Camioneros 12/10/2017</t>
  </si>
  <si>
    <t>01670257</t>
  </si>
  <si>
    <t>Vialtec SA</t>
  </si>
  <si>
    <t>01670258</t>
  </si>
  <si>
    <t>01670259</t>
  </si>
  <si>
    <t>01670260</t>
  </si>
  <si>
    <t>MACRO 68035569</t>
  </si>
  <si>
    <t>P</t>
  </si>
  <si>
    <t>MACRO 68035568</t>
  </si>
  <si>
    <t>INDUSTRIAL 13218034</t>
  </si>
  <si>
    <t>INDUSTRIAL 13218033</t>
  </si>
  <si>
    <t>MACRO 69860843 NOA CARD / RR</t>
  </si>
  <si>
    <t>MACRO 68035567</t>
  </si>
  <si>
    <t>MACRO 68035566</t>
  </si>
  <si>
    <t>MACRO 51681611</t>
  </si>
  <si>
    <t>s/ch. 01670205</t>
  </si>
  <si>
    <t>s/ch. 01670189</t>
  </si>
  <si>
    <t>s/ch. 01670203</t>
  </si>
  <si>
    <t>s/ch. 01670191</t>
  </si>
  <si>
    <t>s/dep.12/10/2017 76349687</t>
  </si>
  <si>
    <t>s/dep.12/10/2017 51681472</t>
  </si>
  <si>
    <t>s/dep.12/10/2017 12756969</t>
  </si>
  <si>
    <t>s/dep.12/10/2017 13218032</t>
  </si>
  <si>
    <t>s/dep.12/10/2017 33335411</t>
  </si>
  <si>
    <t>s/ch. 01670207</t>
  </si>
  <si>
    <t>s/ch. 01670256</t>
  </si>
  <si>
    <t>s/ch. 01670255</t>
  </si>
  <si>
    <t>s/ch. 01670188</t>
  </si>
  <si>
    <t>Pago P/Link Ant.Bs.Pers. 3/2017</t>
  </si>
  <si>
    <t>s/dep.13/10/2017 68035568</t>
  </si>
  <si>
    <t>s/dep.13/10/2017 68035569</t>
  </si>
  <si>
    <t>s/dep.13/10/2017 13218034</t>
  </si>
  <si>
    <t>s/dep.13/10/2017 13218033</t>
  </si>
  <si>
    <t>s/dep.13/10/2017 69860843</t>
  </si>
  <si>
    <t>Chequeras</t>
  </si>
  <si>
    <t>Depositos</t>
  </si>
  <si>
    <t>Gastos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</si>
</sst>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;@"/>
    <numFmt numFmtId="165" formatCode="[$$-2C0A]\ #,##0.00;[Red][$$-2C0A]\ \-#,##0.00"/>
    <numFmt numFmtId="166" formatCode="[$$-2C0A]\ #,##0.00;[Red]\-[$$-2C0A]\ #,##0.00"/>
  </numFmts>
  <fonts count="11">
    <font>
      <sz val="11"/>
      <color theme="1"/>
      <name val="PT Mono"/>
      <family val="2"/>
    </font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b/>
      <sz val="11"/>
      <color rgb="FFFF0000"/>
      <name val="Franklin Gothic Book"/>
      <family val="2"/>
      <scheme val="minor"/>
    </font>
    <font>
      <sz val="11"/>
      <name val="Franklin Gothic Book"/>
      <family val="2"/>
      <scheme val="minor"/>
    </font>
    <font>
      <b/>
      <sz val="11"/>
      <name val="Franklin Gothic Book"/>
      <family val="2"/>
      <scheme val="minor"/>
    </font>
    <font>
      <sz val="16"/>
      <color theme="1"/>
      <name val="Franklin Gothic Book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Franklin Gothic Book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4" fillId="0" borderId="0" xfId="0" applyFont="1" applyAlignment="1">
      <alignment horizontal="center"/>
    </xf>
    <xf numFmtId="164" fontId="3" fillId="0" borderId="0" xfId="0" applyNumberFormat="1" applyFont="1" applyFill="1" applyAlignment="1">
      <alignment horizontal="center"/>
    </xf>
    <xf numFmtId="49" fontId="3" fillId="0" borderId="0" xfId="0" applyNumberFormat="1" applyFont="1" applyFill="1" applyAlignment="1">
      <alignment horizontal="center"/>
    </xf>
    <xf numFmtId="165" fontId="5" fillId="0" borderId="0" xfId="0" applyNumberFormat="1" applyFont="1" applyFill="1"/>
    <xf numFmtId="14" fontId="3" fillId="0" borderId="0" xfId="0" applyNumberFormat="1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0" fontId="3" fillId="0" borderId="0" xfId="0" applyFont="1" applyFill="1" applyAlignment="1">
      <alignment horizontal="center"/>
    </xf>
    <xf numFmtId="165" fontId="6" fillId="2" borderId="0" xfId="0" applyNumberFormat="1" applyFont="1" applyFill="1"/>
    <xf numFmtId="14" fontId="4" fillId="2" borderId="0" xfId="0" applyNumberFormat="1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165" fontId="6" fillId="4" borderId="0" xfId="0" applyNumberFormat="1" applyFont="1" applyFill="1"/>
    <xf numFmtId="14" fontId="4" fillId="4" borderId="0" xfId="0" applyNumberFormat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65" fontId="5" fillId="0" borderId="0" xfId="0" applyNumberFormat="1" applyFont="1" applyAlignment="1">
      <alignment horizontal="center"/>
    </xf>
    <xf numFmtId="14" fontId="10" fillId="2" borderId="0" xfId="0" applyNumberFormat="1" applyFont="1" applyFill="1" applyAlignment="1">
      <alignment horizontal="center"/>
    </xf>
    <xf numFmtId="0" fontId="5" fillId="4" borderId="0" xfId="0" applyFont="1" applyFill="1" applyAlignment="1">
      <alignment horizontal="center"/>
    </xf>
    <xf numFmtId="14" fontId="10" fillId="4" borderId="0" xfId="0" applyNumberFormat="1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165" fontId="4" fillId="4" borderId="0" xfId="0" applyNumberFormat="1" applyFont="1" applyFill="1"/>
    <xf numFmtId="0" fontId="3" fillId="5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3" fillId="7" borderId="0" xfId="0" applyNumberFormat="1" applyFont="1" applyFill="1" applyAlignment="1">
      <alignment horizontal="center"/>
    </xf>
    <xf numFmtId="16" fontId="3" fillId="0" borderId="0" xfId="0" applyNumberFormat="1" applyFont="1" applyAlignment="1">
      <alignment horizontal="center"/>
    </xf>
    <xf numFmtId="49" fontId="3" fillId="4" borderId="0" xfId="0" applyNumberFormat="1" applyFont="1" applyFill="1" applyAlignment="1">
      <alignment horizontal="center"/>
    </xf>
    <xf numFmtId="164" fontId="3" fillId="6" borderId="0" xfId="0" applyNumberFormat="1" applyFont="1" applyFill="1" applyAlignment="1">
      <alignment horizontal="center"/>
    </xf>
    <xf numFmtId="14" fontId="2" fillId="4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NumberFormat="1" applyFont="1"/>
    <xf numFmtId="0" fontId="2" fillId="0" borderId="0" xfId="0" applyFont="1" applyFill="1"/>
    <xf numFmtId="0" fontId="2" fillId="0" borderId="0" xfId="0" applyFont="1"/>
    <xf numFmtId="49" fontId="2" fillId="0" borderId="0" xfId="0" applyNumberFormat="1" applyFont="1" applyFill="1" applyAlignment="1">
      <alignment horizontal="center"/>
    </xf>
    <xf numFmtId="14" fontId="2" fillId="0" borderId="0" xfId="0" applyNumberFormat="1" applyFont="1" applyFill="1" applyAlignment="1">
      <alignment horizontal="center"/>
    </xf>
    <xf numFmtId="49" fontId="1" fillId="0" borderId="0" xfId="0" applyNumberFormat="1" applyFont="1"/>
    <xf numFmtId="14" fontId="1" fillId="0" borderId="0" xfId="0" applyNumberFormat="1" applyFont="1"/>
    <xf numFmtId="0" fontId="1" fillId="0" borderId="0" xfId="0" applyNumberFormat="1" applyFont="1"/>
    <xf numFmtId="166" fontId="1" fillId="0" borderId="0" xfId="0" applyNumberFormat="1" applyFont="1"/>
    <xf numFmtId="14" fontId="1" fillId="0" borderId="0" xfId="0" applyNumberFormat="1" applyFont="1"/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</cellXfs>
  <cellStyles count="1">
    <cellStyle name="Normal" xfId="0" builtinId="0"/>
  </cellStyles>
  <dxfs count="52"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66" formatCode="[$$-2C0A]\ #,##0.00;[Red]\-[$$-2C0A]\ #,##0.00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9" formatCode="dd/mm/yyyy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66" formatCode="[$$-2C0A]\ #,##0.00;[Red]\-[$$-2C0A]\ #,##0.00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167" formatCode="d/m/yyyy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0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7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4" formatCode="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7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7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7" formatCode="d/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scheme val="minor"/>
      </font>
      <numFmt numFmtId="165" formatCode="[$$-2C0A]\ #,##0.00;[Red][$$-2C0A]\ \-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4" formatCode="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Franklin Gothic Book"/>
        <scheme val="minor"/>
      </font>
      <numFmt numFmtId="164" formatCode="dd/mm/yy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tantia"/>
        <scheme val="major"/>
      </font>
      <numFmt numFmtId="30" formatCode="@"/>
    </dxf>
    <dxf>
      <font>
        <strike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30" formatCode="@"/>
    </dxf>
    <dxf>
      <font>
        <strike val="0"/>
        <outline val="0"/>
        <shadow val="0"/>
        <u val="none"/>
        <vertAlign val="baseline"/>
        <sz val="11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Chequeras" displayName="Chequeras" ref="B5:J105" totalsRowShown="0" headerRowDxfId="51" dataDxfId="50">
  <tableColumns count="9">
    <tableColumn id="1" name="ORIGEN" dataDxfId="49" totalsRowDxfId="48"/>
    <tableColumn id="2" name="EMISION" dataDxfId="47" totalsRowDxfId="46"/>
    <tableColumn id="3" name="NUMERO" dataDxfId="45" totalsRowDxfId="44"/>
    <tableColumn id="4" name="IMPORTE" dataDxfId="43" totalsRowDxfId="42"/>
    <tableColumn id="5" name="VTO." dataDxfId="41" totalsRowDxfId="40"/>
    <tableColumn id="6" name="SALDO" dataDxfId="39" totalsRowDxfId="38">
      <calculatedColumnFormula>RANDBETWEEN(0,-Chequeras[[#This Row],[IMPORTE]])</calculatedColumnFormula>
    </tableColumn>
    <tableColumn id="7" name="OBSERVACIONES" dataDxfId="37" totalsRowDxfId="36"/>
    <tableColumn id="8" name="CONDICION" dataDxfId="35" totalsRowDxfId="34"/>
    <tableColumn id="9" name="CHEQUERA" dataDxfId="33"/>
  </tableColumns>
  <tableStyleInfo name="TableStyleLight1" showFirstColumn="0" showLastColumn="0" showRowStripes="0" showColumnStripes="0"/>
</table>
</file>

<file path=xl/tables/table2.xml><?xml version="1.0" encoding="utf-8"?>
<table xmlns="http://schemas.openxmlformats.org/spreadsheetml/2006/main" id="2" name="Depositos" displayName="Depositos" ref="B5:J105" totalsRowShown="0" headerRowDxfId="32" dataDxfId="31">
  <tableColumns count="9">
    <tableColumn id="1" name="ORIGEN" dataDxfId="30"/>
    <tableColumn id="2" name="EMISION" dataDxfId="29"/>
    <tableColumn id="3" name="NUMERO" dataDxfId="28"/>
    <tableColumn id="4" name="IMPORTE" dataDxfId="27"/>
    <tableColumn id="5" name="VTO." dataDxfId="26"/>
    <tableColumn id="6" name="SALDO" dataDxfId="25">
      <calculatedColumnFormula>RANDBETWEEN(0,Depositos[[#This Row],[IMPORTE]])</calculatedColumnFormula>
    </tableColumn>
    <tableColumn id="7" name="OBSERVACIONES" dataDxfId="24"/>
    <tableColumn id="8" name="CONDICION" dataDxfId="23"/>
    <tableColumn id="9" name="CHEQUERA" dataDxfId="22"/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id="3" name="Gastos" displayName="Gastos" ref="B5:J105" totalsRowShown="0" headerRowDxfId="21" dataDxfId="20">
  <tableColumns count="9">
    <tableColumn id="1" name="ORIGEN" dataDxfId="19"/>
    <tableColumn id="2" name="EMISION" dataDxfId="18"/>
    <tableColumn id="3" name="NUMERO" dataDxfId="17"/>
    <tableColumn id="5" name="IMPORTE" dataDxfId="16"/>
    <tableColumn id="6" name="VTO." dataDxfId="15"/>
    <tableColumn id="7" name="SALDO" dataDxfId="14">
      <calculatedColumnFormula>RANDBETWEEN(0,-Gastos[[#This Row],[IMPORTE]])</calculatedColumnFormula>
    </tableColumn>
    <tableColumn id="8" name="OBSERVACIONES" dataDxfId="13"/>
    <tableColumn id="9" name="CONDICION" dataDxfId="12"/>
    <tableColumn id="10" name="CHEQUERA" dataDxfId="11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id="4" name="Aglutinador" displayName="Aglutinador" ref="A1:I601" totalsRowShown="0" headerRowDxfId="10" dataDxfId="9">
  <sortState ref="A2:I9873">
    <sortCondition ref="B2"/>
  </sortState>
  <tableColumns count="9">
    <tableColumn id="1" name="ORIGEN" dataDxfId="8"/>
    <tableColumn id="2" name="EMISION" dataDxfId="7">
      <calculatedColumnFormula>IFERROR(VLOOKUP(2,Chequeras[],2,FALSE),"BORRADO")</calculatedColumnFormula>
    </tableColumn>
    <tableColumn id="3" name="NUMERO" dataDxfId="6">
      <calculatedColumnFormula>IFERROR(VLOOKUP(2,Chequeras[],3,FALSE),"BORRADO")</calculatedColumnFormula>
    </tableColumn>
    <tableColumn id="4" name="IMPORTE" dataDxfId="5">
      <calculatedColumnFormula>IFERROR(VLOOKUP(2,Chequeras[],4,FALSE),"BORRADO")</calculatedColumnFormula>
    </tableColumn>
    <tableColumn id="5" name="VTO." dataDxfId="4">
      <calculatedColumnFormula>IFERROR(VLOOKUP(2,Chequeras[],5,FALSE),"BORRADO")</calculatedColumnFormula>
    </tableColumn>
    <tableColumn id="6" name="SALDO" dataDxfId="3">
      <calculatedColumnFormula>IFERROR(VLOOKUP(2,Chequeras[],6,FALSE),"BORRADO")</calculatedColumnFormula>
    </tableColumn>
    <tableColumn id="7" name="OBSERVACIONES" dataDxfId="2">
      <calculatedColumnFormula>IFERROR(VLOOKUP(2,Chequeras[],7,FALSE),"BORRADO")</calculatedColumnFormula>
    </tableColumn>
    <tableColumn id="8" name="CONDICION" dataDxfId="1">
      <calculatedColumnFormula>IFERROR(VLOOKUP(2,Chequeras[],8,FALSE),"BORRADO")</calculatedColumnFormula>
    </tableColumn>
    <tableColumn id="9" name="CHEQUERA" dataDxfId="0">
      <calculatedColumnFormula>IFERROR(VLOOKUP(2,Chequeras[],9,FALSE),"BORRADO")</calculatedColumnFormula>
    </tableColumn>
  </tableColumns>
  <tableStyleInfo name="TableStyleLight17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hincheta">
      <a:majorFont>
        <a:latin typeface="Constantia"/>
        <a:ea typeface=""/>
        <a:cs typeface=""/>
        <a:font script="Jpan" typeface="HGS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Franklin Gothic Book"/>
        <a:ea typeface=""/>
        <a:cs typeface=""/>
        <a:font script="Grek" typeface="Arial"/>
        <a:font script="Cyrl" typeface="Arial"/>
        <a:font script="Jpan" typeface="ＭＳ Ｐゴシック"/>
        <a:font script="Hang" typeface="맑은 고딕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equeras"/>
  <dimension ref="A1:L105"/>
  <sheetViews>
    <sheetView workbookViewId="0"/>
  </sheetViews>
  <sheetFormatPr baseColWidth="10" defaultColWidth="11" defaultRowHeight="15.75"/>
  <cols>
    <col min="1" max="1" width="3.625" style="32" customWidth="1"/>
    <col min="2" max="2" width="20.25" style="35" hidden="1" customWidth="1"/>
    <col min="3" max="3" width="11.875" style="35" bestFit="1" customWidth="1"/>
    <col min="4" max="4" width="10.125" style="35" bestFit="1" customWidth="1"/>
    <col min="5" max="5" width="14.875" style="35" bestFit="1" customWidth="1"/>
    <col min="6" max="6" width="13.125" style="35" bestFit="1" customWidth="1"/>
    <col min="7" max="7" width="16" style="35" bestFit="1" customWidth="1"/>
    <col min="8" max="8" width="33.625" style="35" bestFit="1" customWidth="1"/>
    <col min="9" max="9" width="11.5" style="35" bestFit="1" customWidth="1"/>
    <col min="10" max="10" width="10.875" style="35" bestFit="1" customWidth="1"/>
    <col min="11" max="11" width="0" style="35" hidden="1" customWidth="1"/>
    <col min="12" max="12" width="3.625" style="32" customWidth="1"/>
    <col min="13" max="16384" width="11" style="35"/>
  </cols>
  <sheetData>
    <row r="1" spans="2:11" ht="16.5" thickBot="1"/>
    <row r="2" spans="2:11">
      <c r="C2" s="43" t="s">
        <v>9</v>
      </c>
      <c r="D2" s="44"/>
      <c r="E2" s="44"/>
      <c r="F2" s="44"/>
      <c r="G2" s="44"/>
      <c r="H2" s="44"/>
      <c r="I2" s="44"/>
      <c r="J2" s="45"/>
    </row>
    <row r="3" spans="2:11" ht="16.5" thickBot="1">
      <c r="C3" s="46"/>
      <c r="D3" s="47"/>
      <c r="E3" s="47"/>
      <c r="F3" s="47"/>
      <c r="G3" s="47"/>
      <c r="H3" s="47"/>
      <c r="I3" s="47"/>
      <c r="J3" s="48"/>
    </row>
    <row r="5" spans="2:11">
      <c r="B5" s="1" t="s">
        <v>0</v>
      </c>
      <c r="C5" s="23" t="s">
        <v>1</v>
      </c>
      <c r="D5" s="23" t="s">
        <v>2</v>
      </c>
      <c r="E5" s="23" t="s">
        <v>3</v>
      </c>
      <c r="F5" s="23" t="s">
        <v>4</v>
      </c>
      <c r="G5" s="23" t="s">
        <v>5</v>
      </c>
      <c r="H5" s="23" t="s">
        <v>6</v>
      </c>
      <c r="I5" s="23" t="s">
        <v>7</v>
      </c>
      <c r="J5" s="23" t="s">
        <v>8</v>
      </c>
    </row>
    <row r="6" spans="2:11">
      <c r="B6" s="33">
        <v>2088</v>
      </c>
      <c r="C6" s="10">
        <v>42986</v>
      </c>
      <c r="D6" s="28" t="s">
        <v>172</v>
      </c>
      <c r="E6" s="11">
        <v>-150000</v>
      </c>
      <c r="F6" s="12">
        <v>42986</v>
      </c>
      <c r="G6" s="6">
        <f ca="1">RANDBETWEEN(0,-Chequeras[[#This Row],[IMPORTE]])</f>
        <v>104018</v>
      </c>
      <c r="H6" s="27" t="s">
        <v>173</v>
      </c>
      <c r="I6" s="32" t="s">
        <v>162</v>
      </c>
      <c r="J6" s="32">
        <v>93</v>
      </c>
    </row>
    <row r="7" spans="2:11">
      <c r="B7" s="33">
        <v>2089</v>
      </c>
      <c r="C7" s="10">
        <v>42986</v>
      </c>
      <c r="D7" s="28" t="s">
        <v>174</v>
      </c>
      <c r="E7" s="11">
        <v>-150000</v>
      </c>
      <c r="F7" s="12">
        <v>42991</v>
      </c>
      <c r="G7" s="6">
        <f ca="1">RANDBETWEEN(0,-Chequeras[[#This Row],[IMPORTE]])</f>
        <v>896</v>
      </c>
      <c r="H7" s="27" t="s">
        <v>175</v>
      </c>
      <c r="I7" s="32" t="s">
        <v>162</v>
      </c>
      <c r="J7" s="32">
        <v>93</v>
      </c>
    </row>
    <row r="8" spans="2:11">
      <c r="B8" s="33">
        <v>2090</v>
      </c>
      <c r="C8" s="2">
        <v>42957</v>
      </c>
      <c r="D8" s="3" t="s">
        <v>176</v>
      </c>
      <c r="E8" s="8">
        <v>-50000</v>
      </c>
      <c r="F8" s="9">
        <v>42957</v>
      </c>
      <c r="G8" s="6">
        <f ca="1">RANDBETWEEN(0,-Chequeras[[#This Row],[IMPORTE]])</f>
        <v>6932</v>
      </c>
      <c r="H8" s="27"/>
      <c r="I8" s="32" t="s">
        <v>162</v>
      </c>
      <c r="J8" s="32">
        <v>93</v>
      </c>
    </row>
    <row r="9" spans="2:11">
      <c r="B9" s="33">
        <v>2091</v>
      </c>
      <c r="C9" s="26">
        <v>42957</v>
      </c>
      <c r="D9" s="3" t="s">
        <v>177</v>
      </c>
      <c r="E9" s="8">
        <v>-50000</v>
      </c>
      <c r="F9" s="9">
        <v>42957</v>
      </c>
      <c r="G9" s="6">
        <f ca="1">RANDBETWEEN(0,-Chequeras[[#This Row],[IMPORTE]])</f>
        <v>43925</v>
      </c>
      <c r="H9" s="27"/>
      <c r="I9" s="32" t="s">
        <v>162</v>
      </c>
      <c r="J9" s="32">
        <v>93</v>
      </c>
    </row>
    <row r="10" spans="2:11">
      <c r="B10" s="33">
        <v>2092</v>
      </c>
      <c r="C10" s="26">
        <v>42957</v>
      </c>
      <c r="D10" s="3" t="s">
        <v>178</v>
      </c>
      <c r="E10" s="8">
        <v>-50000</v>
      </c>
      <c r="F10" s="9">
        <v>42957</v>
      </c>
      <c r="G10" s="6">
        <f ca="1">RANDBETWEEN(0,-Chequeras[[#This Row],[IMPORTE]])</f>
        <v>39204</v>
      </c>
      <c r="H10" s="27"/>
      <c r="I10" s="32" t="s">
        <v>162</v>
      </c>
      <c r="J10" s="32">
        <v>93</v>
      </c>
    </row>
    <row r="11" spans="2:11">
      <c r="B11" s="33">
        <v>2093</v>
      </c>
      <c r="C11" s="26">
        <v>42957</v>
      </c>
      <c r="D11" s="3" t="s">
        <v>179</v>
      </c>
      <c r="E11" s="8">
        <v>-50000</v>
      </c>
      <c r="F11" s="9">
        <v>42957</v>
      </c>
      <c r="G11" s="6">
        <f ca="1">RANDBETWEEN(0,-Chequeras[[#This Row],[IMPORTE]])</f>
        <v>6347</v>
      </c>
      <c r="H11" s="27"/>
      <c r="I11" s="32" t="s">
        <v>162</v>
      </c>
      <c r="J11" s="32">
        <v>93</v>
      </c>
    </row>
    <row r="12" spans="2:11">
      <c r="B12" s="33">
        <v>2094</v>
      </c>
      <c r="C12" s="2">
        <v>42962</v>
      </c>
      <c r="D12" s="3" t="s">
        <v>180</v>
      </c>
      <c r="E12" s="4">
        <v>-20773</v>
      </c>
      <c r="F12" s="5">
        <v>42978</v>
      </c>
      <c r="G12" s="6">
        <f ca="1">RANDBETWEEN(0,-Chequeras[[#This Row],[IMPORTE]])</f>
        <v>10672</v>
      </c>
      <c r="H12" s="27" t="s">
        <v>181</v>
      </c>
      <c r="I12" s="32" t="s">
        <v>162</v>
      </c>
      <c r="J12" s="32">
        <v>93</v>
      </c>
    </row>
    <row r="13" spans="2:11">
      <c r="B13" s="33">
        <v>2095</v>
      </c>
      <c r="C13" s="25">
        <v>42962</v>
      </c>
      <c r="D13" s="3" t="s">
        <v>182</v>
      </c>
      <c r="E13" s="8">
        <v>-522860.72</v>
      </c>
      <c r="F13" s="9">
        <v>42962</v>
      </c>
      <c r="G13" s="6">
        <f ca="1">RANDBETWEEN(0,-Chequeras[[#This Row],[IMPORTE]])</f>
        <v>282340</v>
      </c>
      <c r="H13" s="24" t="s">
        <v>163</v>
      </c>
      <c r="I13" s="32" t="s">
        <v>162</v>
      </c>
      <c r="J13" s="32">
        <v>93</v>
      </c>
    </row>
    <row r="14" spans="2:11">
      <c r="B14" s="33">
        <v>2096</v>
      </c>
      <c r="C14" s="25">
        <v>42962</v>
      </c>
      <c r="D14" s="3" t="s">
        <v>183</v>
      </c>
      <c r="E14" s="8">
        <v>-11030</v>
      </c>
      <c r="F14" s="9">
        <v>42962</v>
      </c>
      <c r="G14" s="6">
        <f ca="1">RANDBETWEEN(0,-Chequeras[[#This Row],[IMPORTE]])</f>
        <v>3463</v>
      </c>
      <c r="H14" s="24" t="s">
        <v>168</v>
      </c>
      <c r="I14" s="32" t="s">
        <v>162</v>
      </c>
      <c r="J14" s="32">
        <v>93</v>
      </c>
    </row>
    <row r="15" spans="2:11">
      <c r="B15" s="33">
        <v>2097</v>
      </c>
      <c r="C15" s="25">
        <v>42963</v>
      </c>
      <c r="D15" s="3" t="s">
        <v>184</v>
      </c>
      <c r="E15" s="8">
        <v>-45000</v>
      </c>
      <c r="F15" s="9">
        <v>42964</v>
      </c>
      <c r="G15" s="6">
        <f ca="1">RANDBETWEEN(0,-Chequeras[[#This Row],[IMPORTE]])</f>
        <v>43677</v>
      </c>
      <c r="H15" s="24" t="s">
        <v>164</v>
      </c>
      <c r="I15" s="32" t="s">
        <v>162</v>
      </c>
      <c r="J15" s="32">
        <v>93</v>
      </c>
    </row>
    <row r="16" spans="2:11">
      <c r="B16" s="33">
        <v>2098</v>
      </c>
      <c r="C16" s="25">
        <v>42963</v>
      </c>
      <c r="D16" s="3" t="s">
        <v>185</v>
      </c>
      <c r="E16" s="8">
        <v>-45000</v>
      </c>
      <c r="F16" s="9">
        <v>42964</v>
      </c>
      <c r="G16" s="6">
        <f ca="1">RANDBETWEEN(0,-Chequeras[[#This Row],[IMPORTE]])</f>
        <v>42670</v>
      </c>
      <c r="H16" s="24" t="s">
        <v>164</v>
      </c>
      <c r="I16" s="32" t="s">
        <v>162</v>
      </c>
      <c r="J16" s="32">
        <v>93</v>
      </c>
    </row>
    <row r="17" spans="2:10">
      <c r="B17" s="33">
        <v>2099</v>
      </c>
      <c r="C17" s="25">
        <v>42969</v>
      </c>
      <c r="D17" s="3" t="s">
        <v>186</v>
      </c>
      <c r="E17" s="8">
        <v>-30000</v>
      </c>
      <c r="F17" s="9">
        <v>42972</v>
      </c>
      <c r="G17" s="6">
        <f ca="1">RANDBETWEEN(0,-Chequeras[[#This Row],[IMPORTE]])</f>
        <v>25891</v>
      </c>
      <c r="H17" s="24" t="s">
        <v>164</v>
      </c>
      <c r="I17" s="32" t="s">
        <v>162</v>
      </c>
      <c r="J17" s="32">
        <v>93</v>
      </c>
    </row>
    <row r="18" spans="2:10">
      <c r="B18" s="33">
        <v>2100</v>
      </c>
      <c r="C18" s="25">
        <v>42971</v>
      </c>
      <c r="D18" s="3" t="s">
        <v>187</v>
      </c>
      <c r="E18" s="8">
        <v>-26000</v>
      </c>
      <c r="F18" s="9">
        <v>42976</v>
      </c>
      <c r="G18" s="6">
        <f ca="1">RANDBETWEEN(0,-Chequeras[[#This Row],[IMPORTE]])</f>
        <v>23543</v>
      </c>
      <c r="H18" s="24" t="s">
        <v>164</v>
      </c>
      <c r="I18" s="32" t="s">
        <v>162</v>
      </c>
      <c r="J18" s="32">
        <v>93</v>
      </c>
    </row>
    <row r="19" spans="2:10">
      <c r="B19" s="33">
        <v>2101</v>
      </c>
      <c r="C19" s="25">
        <v>42965</v>
      </c>
      <c r="D19" s="3" t="s">
        <v>188</v>
      </c>
      <c r="E19" s="8">
        <v>-22000</v>
      </c>
      <c r="F19" s="9">
        <v>42965</v>
      </c>
      <c r="G19" s="6">
        <f ca="1">RANDBETWEEN(0,-Chequeras[[#This Row],[IMPORTE]])</f>
        <v>3113</v>
      </c>
      <c r="H19" s="24" t="s">
        <v>164</v>
      </c>
      <c r="I19" s="32" t="s">
        <v>162</v>
      </c>
      <c r="J19" s="32">
        <v>93</v>
      </c>
    </row>
    <row r="20" spans="2:10">
      <c r="B20" s="33">
        <v>2102</v>
      </c>
      <c r="C20" s="26">
        <v>42965</v>
      </c>
      <c r="D20" s="28" t="s">
        <v>189</v>
      </c>
      <c r="E20" s="11">
        <v>-5000</v>
      </c>
      <c r="F20" s="12">
        <v>42979</v>
      </c>
      <c r="G20" s="6">
        <f ca="1">RANDBETWEEN(0,-Chequeras[[#This Row],[IMPORTE]])</f>
        <v>2714</v>
      </c>
      <c r="H20" s="24" t="s">
        <v>190</v>
      </c>
      <c r="I20" s="32" t="s">
        <v>162</v>
      </c>
      <c r="J20" s="32">
        <v>93</v>
      </c>
    </row>
    <row r="21" spans="2:10">
      <c r="B21" s="33">
        <v>2103</v>
      </c>
      <c r="C21" s="26">
        <v>42965</v>
      </c>
      <c r="D21" s="3" t="s">
        <v>191</v>
      </c>
      <c r="E21" s="8">
        <v>-5000</v>
      </c>
      <c r="F21" s="9">
        <v>42979</v>
      </c>
      <c r="G21" s="6">
        <f ca="1">RANDBETWEEN(0,-Chequeras[[#This Row],[IMPORTE]])</f>
        <v>1573</v>
      </c>
      <c r="H21" s="24" t="s">
        <v>192</v>
      </c>
      <c r="I21" s="32" t="s">
        <v>162</v>
      </c>
      <c r="J21" s="32">
        <v>93</v>
      </c>
    </row>
    <row r="22" spans="2:10">
      <c r="B22" s="33">
        <v>2104</v>
      </c>
      <c r="C22" s="2">
        <v>42972</v>
      </c>
      <c r="D22" s="3" t="s">
        <v>193</v>
      </c>
      <c r="E22" s="8">
        <v>-19895</v>
      </c>
      <c r="F22" s="9">
        <v>42972</v>
      </c>
      <c r="G22" s="6">
        <f ca="1">RANDBETWEEN(0,-Chequeras[[#This Row],[IMPORTE]])</f>
        <v>18131</v>
      </c>
      <c r="H22" s="24" t="s">
        <v>164</v>
      </c>
      <c r="I22" s="32" t="s">
        <v>162</v>
      </c>
      <c r="J22" s="32">
        <v>93</v>
      </c>
    </row>
    <row r="23" spans="2:10">
      <c r="B23" s="33">
        <v>2105</v>
      </c>
      <c r="C23" s="10">
        <v>42972</v>
      </c>
      <c r="D23" s="28" t="s">
        <v>194</v>
      </c>
      <c r="E23" s="11">
        <v>-77000</v>
      </c>
      <c r="F23" s="12">
        <v>42991</v>
      </c>
      <c r="G23" s="6">
        <f ca="1">RANDBETWEEN(0,-Chequeras[[#This Row],[IMPORTE]])</f>
        <v>14791</v>
      </c>
      <c r="H23" s="24" t="s">
        <v>195</v>
      </c>
      <c r="I23" s="32" t="s">
        <v>162</v>
      </c>
      <c r="J23" s="32">
        <v>93</v>
      </c>
    </row>
    <row r="24" spans="2:10">
      <c r="B24" s="33">
        <v>2106</v>
      </c>
      <c r="C24" s="25">
        <v>42975</v>
      </c>
      <c r="D24" s="3" t="s">
        <v>196</v>
      </c>
      <c r="E24" s="8">
        <v>-9100</v>
      </c>
      <c r="F24" s="9">
        <v>42976</v>
      </c>
      <c r="G24" s="6">
        <f ca="1">RANDBETWEEN(0,-Chequeras[[#This Row],[IMPORTE]])</f>
        <v>784</v>
      </c>
      <c r="H24" s="24" t="s">
        <v>170</v>
      </c>
      <c r="I24" s="32" t="s">
        <v>162</v>
      </c>
      <c r="J24" s="32">
        <v>93</v>
      </c>
    </row>
    <row r="25" spans="2:10">
      <c r="B25" s="33">
        <v>2107</v>
      </c>
      <c r="C25" s="25">
        <v>42975</v>
      </c>
      <c r="D25" s="3" t="s">
        <v>197</v>
      </c>
      <c r="E25" s="8">
        <v>-10000</v>
      </c>
      <c r="F25" s="9">
        <v>42976</v>
      </c>
      <c r="G25" s="6">
        <f ca="1">RANDBETWEEN(0,-Chequeras[[#This Row],[IMPORTE]])</f>
        <v>3846</v>
      </c>
      <c r="H25" s="24" t="s">
        <v>198</v>
      </c>
      <c r="I25" s="32" t="s">
        <v>162</v>
      </c>
      <c r="J25" s="32">
        <v>93</v>
      </c>
    </row>
    <row r="26" spans="2:10">
      <c r="B26" s="33">
        <v>2108</v>
      </c>
      <c r="C26" s="25">
        <v>42977</v>
      </c>
      <c r="D26" s="3" t="s">
        <v>199</v>
      </c>
      <c r="E26" s="8">
        <v>-49000</v>
      </c>
      <c r="F26" s="9">
        <v>42977</v>
      </c>
      <c r="G26" s="6">
        <f ca="1">RANDBETWEEN(0,-Chequeras[[#This Row],[IMPORTE]])</f>
        <v>43506</v>
      </c>
      <c r="H26" s="24" t="s">
        <v>200</v>
      </c>
      <c r="I26" s="32" t="s">
        <v>162</v>
      </c>
      <c r="J26" s="32">
        <v>93</v>
      </c>
    </row>
    <row r="27" spans="2:10">
      <c r="B27" s="33">
        <v>2109</v>
      </c>
      <c r="C27" s="25">
        <v>42977</v>
      </c>
      <c r="D27" s="3" t="s">
        <v>201</v>
      </c>
      <c r="E27" s="8">
        <v>-37400</v>
      </c>
      <c r="F27" s="9">
        <v>42977</v>
      </c>
      <c r="G27" s="6">
        <f ca="1">RANDBETWEEN(0,-Chequeras[[#This Row],[IMPORTE]])</f>
        <v>30058</v>
      </c>
      <c r="H27" s="24" t="s">
        <v>200</v>
      </c>
      <c r="I27" s="32" t="s">
        <v>162</v>
      </c>
      <c r="J27" s="32">
        <v>93</v>
      </c>
    </row>
    <row r="28" spans="2:10">
      <c r="B28" s="33">
        <v>2110</v>
      </c>
      <c r="C28" s="25">
        <v>42975</v>
      </c>
      <c r="D28" s="3" t="s">
        <v>202</v>
      </c>
      <c r="E28" s="8">
        <v>-200000</v>
      </c>
      <c r="F28" s="9">
        <v>42978</v>
      </c>
      <c r="G28" s="6">
        <f ca="1">RANDBETWEEN(0,-Chequeras[[#This Row],[IMPORTE]])</f>
        <v>124295</v>
      </c>
      <c r="H28" s="24" t="s">
        <v>203</v>
      </c>
      <c r="I28" s="32" t="s">
        <v>162</v>
      </c>
      <c r="J28" s="32">
        <v>93</v>
      </c>
    </row>
    <row r="29" spans="2:10">
      <c r="B29" s="33">
        <v>2111</v>
      </c>
      <c r="C29" s="10">
        <v>42963</v>
      </c>
      <c r="D29" s="28" t="s">
        <v>204</v>
      </c>
      <c r="E29" s="11">
        <v>-6502.51</v>
      </c>
      <c r="F29" s="12">
        <v>43004</v>
      </c>
      <c r="G29" s="6">
        <f ca="1">RANDBETWEEN(0,-Chequeras[[#This Row],[IMPORTE]])</f>
        <v>2033</v>
      </c>
      <c r="H29" s="24" t="s">
        <v>205</v>
      </c>
      <c r="I29" s="32" t="s">
        <v>206</v>
      </c>
      <c r="J29" s="32">
        <v>94</v>
      </c>
    </row>
    <row r="30" spans="2:10">
      <c r="B30" s="33">
        <v>2112</v>
      </c>
      <c r="C30" s="10">
        <v>42963</v>
      </c>
      <c r="D30" s="28" t="s">
        <v>207</v>
      </c>
      <c r="E30" s="11">
        <v>-4751.47</v>
      </c>
      <c r="F30" s="12">
        <v>43005</v>
      </c>
      <c r="G30" s="6">
        <f ca="1">RANDBETWEEN(0,-Chequeras[[#This Row],[IMPORTE]])</f>
        <v>2670</v>
      </c>
      <c r="H30" s="24" t="s">
        <v>208</v>
      </c>
      <c r="I30" s="32" t="s">
        <v>206</v>
      </c>
      <c r="J30" s="32">
        <v>94</v>
      </c>
    </row>
    <row r="31" spans="2:10">
      <c r="B31" s="33">
        <v>2113</v>
      </c>
      <c r="C31" s="2">
        <v>42963</v>
      </c>
      <c r="D31" s="3" t="s">
        <v>209</v>
      </c>
      <c r="E31" s="8">
        <v>0</v>
      </c>
      <c r="F31" s="9">
        <v>42963</v>
      </c>
      <c r="G31" s="6">
        <f ca="1">RANDBETWEEN(0,-Chequeras[[#This Row],[IMPORTE]])</f>
        <v>0</v>
      </c>
      <c r="H31" s="24" t="s">
        <v>161</v>
      </c>
      <c r="I31" s="32" t="s">
        <v>206</v>
      </c>
      <c r="J31" s="32">
        <v>94</v>
      </c>
    </row>
    <row r="32" spans="2:10">
      <c r="B32" s="33">
        <v>2114</v>
      </c>
      <c r="C32" s="2">
        <v>42963</v>
      </c>
      <c r="D32" s="3" t="s">
        <v>210</v>
      </c>
      <c r="E32" s="8">
        <v>0</v>
      </c>
      <c r="F32" s="9">
        <v>42963</v>
      </c>
      <c r="G32" s="6">
        <f ca="1">RANDBETWEEN(0,-Chequeras[[#This Row],[IMPORTE]])</f>
        <v>0</v>
      </c>
      <c r="H32" s="24" t="s">
        <v>161</v>
      </c>
      <c r="I32" s="32" t="s">
        <v>206</v>
      </c>
      <c r="J32" s="32">
        <v>94</v>
      </c>
    </row>
    <row r="33" spans="2:10">
      <c r="B33" s="33">
        <v>2115</v>
      </c>
      <c r="C33" s="2">
        <v>42963</v>
      </c>
      <c r="D33" s="3" t="s">
        <v>211</v>
      </c>
      <c r="E33" s="8">
        <v>-6524.13</v>
      </c>
      <c r="F33" s="9">
        <v>42972</v>
      </c>
      <c r="G33" s="6">
        <f ca="1">RANDBETWEEN(0,-Chequeras[[#This Row],[IMPORTE]])</f>
        <v>395</v>
      </c>
      <c r="H33" s="24" t="s">
        <v>212</v>
      </c>
      <c r="I33" s="32" t="s">
        <v>206</v>
      </c>
      <c r="J33" s="32">
        <v>94</v>
      </c>
    </row>
    <row r="34" spans="2:10">
      <c r="B34" s="33">
        <v>2116</v>
      </c>
      <c r="C34" s="10">
        <v>42963</v>
      </c>
      <c r="D34" s="28" t="s">
        <v>213</v>
      </c>
      <c r="E34" s="11">
        <v>-22903.97</v>
      </c>
      <c r="F34" s="12">
        <v>42997</v>
      </c>
      <c r="G34" s="6">
        <f ca="1">RANDBETWEEN(0,-Chequeras[[#This Row],[IMPORTE]])</f>
        <v>6610</v>
      </c>
      <c r="H34" s="24" t="s">
        <v>214</v>
      </c>
      <c r="I34" s="32" t="s">
        <v>206</v>
      </c>
      <c r="J34" s="32">
        <v>94</v>
      </c>
    </row>
    <row r="35" spans="2:10">
      <c r="B35" s="33">
        <v>2117</v>
      </c>
      <c r="C35" s="2">
        <v>42964</v>
      </c>
      <c r="D35" s="3" t="s">
        <v>215</v>
      </c>
      <c r="E35" s="8">
        <v>-13570</v>
      </c>
      <c r="F35" s="9">
        <v>42982</v>
      </c>
      <c r="G35" s="6">
        <f ca="1">RANDBETWEEN(0,-Chequeras[[#This Row],[IMPORTE]])</f>
        <v>10361</v>
      </c>
      <c r="H35" s="24" t="s">
        <v>216</v>
      </c>
      <c r="I35" s="32" t="s">
        <v>206</v>
      </c>
      <c r="J35" s="32">
        <v>94</v>
      </c>
    </row>
    <row r="36" spans="2:10">
      <c r="B36" s="33">
        <v>2118</v>
      </c>
      <c r="C36" s="10">
        <v>42964</v>
      </c>
      <c r="D36" s="28" t="s">
        <v>217</v>
      </c>
      <c r="E36" s="11">
        <v>-11384.73</v>
      </c>
      <c r="F36" s="12">
        <v>42984</v>
      </c>
      <c r="G36" s="6">
        <f ca="1">RANDBETWEEN(0,-Chequeras[[#This Row],[IMPORTE]])</f>
        <v>7433</v>
      </c>
      <c r="H36" s="24" t="s">
        <v>218</v>
      </c>
      <c r="I36" s="32" t="s">
        <v>206</v>
      </c>
      <c r="J36" s="32">
        <v>94</v>
      </c>
    </row>
    <row r="37" spans="2:10">
      <c r="B37" s="33">
        <v>2119</v>
      </c>
      <c r="C37" s="26">
        <v>42989</v>
      </c>
      <c r="D37" s="28" t="s">
        <v>219</v>
      </c>
      <c r="E37" s="11">
        <v>-385880.7</v>
      </c>
      <c r="F37" s="12">
        <v>42991</v>
      </c>
      <c r="G37" s="6">
        <f ca="1">RANDBETWEEN(0,-Chequeras[[#This Row],[IMPORTE]])</f>
        <v>57965</v>
      </c>
      <c r="H37" s="24" t="s">
        <v>220</v>
      </c>
      <c r="I37" s="32" t="s">
        <v>206</v>
      </c>
      <c r="J37" s="32">
        <v>94</v>
      </c>
    </row>
    <row r="38" spans="2:10">
      <c r="B38" s="33">
        <v>2120</v>
      </c>
      <c r="C38" s="10">
        <v>42989</v>
      </c>
      <c r="D38" s="28" t="s">
        <v>221</v>
      </c>
      <c r="E38" s="11">
        <v>-18464.689999999999</v>
      </c>
      <c r="F38" s="12">
        <v>42991</v>
      </c>
      <c r="G38" s="6">
        <f ca="1">RANDBETWEEN(0,-Chequeras[[#This Row],[IMPORTE]])</f>
        <v>6393</v>
      </c>
      <c r="H38" s="24" t="s">
        <v>222</v>
      </c>
      <c r="I38" s="32" t="s">
        <v>206</v>
      </c>
      <c r="J38" s="32">
        <v>94</v>
      </c>
    </row>
    <row r="39" spans="2:10">
      <c r="B39" s="33">
        <v>2121</v>
      </c>
      <c r="C39" s="10">
        <v>42989</v>
      </c>
      <c r="D39" s="28" t="s">
        <v>223</v>
      </c>
      <c r="E39" s="11">
        <v>-48008.17</v>
      </c>
      <c r="F39" s="12">
        <v>42991</v>
      </c>
      <c r="G39" s="6">
        <f ca="1">RANDBETWEEN(0,-Chequeras[[#This Row],[IMPORTE]])</f>
        <v>29597</v>
      </c>
      <c r="H39" s="24" t="s">
        <v>224</v>
      </c>
      <c r="I39" s="32" t="s">
        <v>206</v>
      </c>
      <c r="J39" s="32">
        <v>94</v>
      </c>
    </row>
    <row r="40" spans="2:10">
      <c r="B40" s="33">
        <v>2122</v>
      </c>
      <c r="C40" s="10">
        <v>42978</v>
      </c>
      <c r="D40" s="28" t="s">
        <v>225</v>
      </c>
      <c r="E40" s="11">
        <v>-3717.26</v>
      </c>
      <c r="F40" s="12">
        <v>43019</v>
      </c>
      <c r="G40" s="6">
        <f ca="1">RANDBETWEEN(0,-Chequeras[[#This Row],[IMPORTE]])</f>
        <v>1733</v>
      </c>
      <c r="H40" s="24" t="s">
        <v>226</v>
      </c>
      <c r="I40" s="32" t="s">
        <v>206</v>
      </c>
      <c r="J40" s="32">
        <v>94</v>
      </c>
    </row>
    <row r="41" spans="2:10">
      <c r="B41" s="33">
        <v>2123</v>
      </c>
      <c r="C41" s="10">
        <v>42978</v>
      </c>
      <c r="D41" s="28" t="s">
        <v>227</v>
      </c>
      <c r="E41" s="11">
        <v>-2455.5500000000002</v>
      </c>
      <c r="F41" s="12">
        <v>43021</v>
      </c>
      <c r="G41" s="6">
        <f ca="1">RANDBETWEEN(0,-Chequeras[[#This Row],[IMPORTE]])</f>
        <v>1626</v>
      </c>
      <c r="H41" s="24" t="s">
        <v>228</v>
      </c>
      <c r="I41" s="32" t="s">
        <v>206</v>
      </c>
      <c r="J41" s="32">
        <v>94</v>
      </c>
    </row>
    <row r="42" spans="2:10">
      <c r="B42" s="33">
        <v>2124</v>
      </c>
      <c r="C42" s="10">
        <v>42978</v>
      </c>
      <c r="D42" s="28" t="s">
        <v>229</v>
      </c>
      <c r="E42" s="11">
        <v>-9836.44</v>
      </c>
      <c r="F42" s="12">
        <v>43020</v>
      </c>
      <c r="G42" s="6">
        <f ca="1">RANDBETWEEN(0,-Chequeras[[#This Row],[IMPORTE]])</f>
        <v>8570</v>
      </c>
      <c r="H42" s="24" t="s">
        <v>230</v>
      </c>
      <c r="I42" s="32" t="s">
        <v>206</v>
      </c>
      <c r="J42" s="32">
        <v>94</v>
      </c>
    </row>
    <row r="43" spans="2:10">
      <c r="B43" s="33">
        <v>2125</v>
      </c>
      <c r="C43" s="2">
        <v>42978</v>
      </c>
      <c r="D43" s="3" t="s">
        <v>231</v>
      </c>
      <c r="E43" s="4">
        <v>-9836.4500000000007</v>
      </c>
      <c r="F43" s="5">
        <v>43049</v>
      </c>
      <c r="G43" s="6">
        <f ca="1">RANDBETWEEN(0,-Chequeras[[#This Row],[IMPORTE]])</f>
        <v>4170</v>
      </c>
      <c r="H43" s="24" t="s">
        <v>165</v>
      </c>
      <c r="I43" s="32" t="s">
        <v>206</v>
      </c>
      <c r="J43" s="32">
        <v>94</v>
      </c>
    </row>
    <row r="44" spans="2:10">
      <c r="B44" s="33">
        <v>2126</v>
      </c>
      <c r="C44" s="10">
        <v>42978</v>
      </c>
      <c r="D44" s="28" t="s">
        <v>232</v>
      </c>
      <c r="E44" s="11">
        <v>-2269.02</v>
      </c>
      <c r="F44" s="12">
        <v>43020</v>
      </c>
      <c r="G44" s="6">
        <f ca="1">RANDBETWEEN(0,-Chequeras[[#This Row],[IMPORTE]])</f>
        <v>1340</v>
      </c>
      <c r="H44" s="24" t="s">
        <v>233</v>
      </c>
      <c r="I44" s="32" t="s">
        <v>206</v>
      </c>
      <c r="J44" s="32">
        <v>94</v>
      </c>
    </row>
    <row r="45" spans="2:10">
      <c r="B45" s="33">
        <v>2127</v>
      </c>
      <c r="C45" s="2">
        <v>42978</v>
      </c>
      <c r="D45" s="3" t="s">
        <v>234</v>
      </c>
      <c r="E45" s="4">
        <v>-2269.02</v>
      </c>
      <c r="F45" s="5">
        <v>43039</v>
      </c>
      <c r="G45" s="6">
        <f ca="1">RANDBETWEEN(0,-Chequeras[[#This Row],[IMPORTE]])</f>
        <v>785</v>
      </c>
      <c r="H45" s="24" t="s">
        <v>235</v>
      </c>
      <c r="I45" s="32" t="s">
        <v>206</v>
      </c>
      <c r="J45" s="32">
        <v>94</v>
      </c>
    </row>
    <row r="46" spans="2:10">
      <c r="B46" s="33">
        <v>2128</v>
      </c>
      <c r="C46" s="10">
        <v>42978</v>
      </c>
      <c r="D46" s="28" t="s">
        <v>236</v>
      </c>
      <c r="E46" s="11">
        <v>-46499.44</v>
      </c>
      <c r="F46" s="12">
        <v>42997</v>
      </c>
      <c r="G46" s="6">
        <f ca="1">RANDBETWEEN(0,-Chequeras[[#This Row],[IMPORTE]])</f>
        <v>30866</v>
      </c>
      <c r="H46" s="24" t="s">
        <v>237</v>
      </c>
      <c r="I46" s="32" t="s">
        <v>206</v>
      </c>
      <c r="J46" s="32">
        <v>94</v>
      </c>
    </row>
    <row r="47" spans="2:10">
      <c r="B47" s="33">
        <v>2129</v>
      </c>
      <c r="C47" s="2">
        <v>42978</v>
      </c>
      <c r="D47" s="3" t="s">
        <v>238</v>
      </c>
      <c r="E47" s="4">
        <v>-10428.76</v>
      </c>
      <c r="F47" s="5">
        <v>43029</v>
      </c>
      <c r="G47" s="6">
        <f ca="1">RANDBETWEEN(0,-Chequeras[[#This Row],[IMPORTE]])</f>
        <v>3729</v>
      </c>
      <c r="H47" s="24" t="s">
        <v>239</v>
      </c>
      <c r="I47" s="32" t="s">
        <v>206</v>
      </c>
      <c r="J47" s="32">
        <v>94</v>
      </c>
    </row>
    <row r="48" spans="2:10">
      <c r="B48" s="33">
        <v>2130</v>
      </c>
      <c r="C48" s="29">
        <v>42978</v>
      </c>
      <c r="D48" s="28" t="s">
        <v>240</v>
      </c>
      <c r="E48" s="11">
        <v>-5253.7</v>
      </c>
      <c r="F48" s="12">
        <v>43017</v>
      </c>
      <c r="G48" s="6">
        <f ca="1">RANDBETWEEN(0,-Chequeras[[#This Row],[IMPORTE]])</f>
        <v>2571</v>
      </c>
      <c r="H48" s="24" t="s">
        <v>241</v>
      </c>
      <c r="I48" s="32" t="s">
        <v>206</v>
      </c>
      <c r="J48" s="32">
        <v>94</v>
      </c>
    </row>
    <row r="49" spans="2:10">
      <c r="B49" s="33">
        <v>2131</v>
      </c>
      <c r="C49" s="2">
        <v>42989</v>
      </c>
      <c r="D49" s="3" t="s">
        <v>242</v>
      </c>
      <c r="E49" s="8">
        <v>0</v>
      </c>
      <c r="F49" s="9">
        <v>42989</v>
      </c>
      <c r="G49" s="6">
        <f ca="1">RANDBETWEEN(0,-Chequeras[[#This Row],[IMPORTE]])</f>
        <v>0</v>
      </c>
      <c r="H49" s="24" t="s">
        <v>161</v>
      </c>
      <c r="I49" s="32" t="s">
        <v>206</v>
      </c>
      <c r="J49" s="32">
        <v>94</v>
      </c>
    </row>
    <row r="50" spans="2:10">
      <c r="B50" s="33">
        <v>2132</v>
      </c>
      <c r="C50" s="2">
        <v>42978</v>
      </c>
      <c r="D50" s="3" t="s">
        <v>243</v>
      </c>
      <c r="E50" s="4">
        <v>-10892.78</v>
      </c>
      <c r="F50" s="5">
        <v>43019</v>
      </c>
      <c r="G50" s="6">
        <f ca="1">RANDBETWEEN(0,-Chequeras[[#This Row],[IMPORTE]])</f>
        <v>7115</v>
      </c>
      <c r="H50" s="24" t="s">
        <v>244</v>
      </c>
      <c r="I50" s="32" t="s">
        <v>206</v>
      </c>
      <c r="J50" s="32">
        <v>94</v>
      </c>
    </row>
    <row r="51" spans="2:10">
      <c r="B51" s="33">
        <v>2133</v>
      </c>
      <c r="C51" s="2">
        <v>42978</v>
      </c>
      <c r="D51" s="3" t="s">
        <v>245</v>
      </c>
      <c r="E51" s="4">
        <v>-10892.79</v>
      </c>
      <c r="F51" s="5">
        <v>43049</v>
      </c>
      <c r="G51" s="6">
        <f ca="1">RANDBETWEEN(0,-Chequeras[[#This Row],[IMPORTE]])</f>
        <v>5571</v>
      </c>
      <c r="H51" s="24" t="s">
        <v>244</v>
      </c>
      <c r="I51" s="32" t="s">
        <v>206</v>
      </c>
      <c r="J51" s="32">
        <v>94</v>
      </c>
    </row>
    <row r="52" spans="2:10">
      <c r="B52" s="33">
        <v>2134</v>
      </c>
      <c r="C52" s="2">
        <v>42978</v>
      </c>
      <c r="D52" s="3" t="s">
        <v>246</v>
      </c>
      <c r="E52" s="4">
        <v>-5948.33</v>
      </c>
      <c r="F52" s="5">
        <v>43019</v>
      </c>
      <c r="G52" s="6">
        <f ca="1">RANDBETWEEN(0,-Chequeras[[#This Row],[IMPORTE]])</f>
        <v>5922</v>
      </c>
      <c r="H52" s="24" t="s">
        <v>247</v>
      </c>
      <c r="I52" s="32" t="s">
        <v>206</v>
      </c>
      <c r="J52" s="32">
        <v>94</v>
      </c>
    </row>
    <row r="53" spans="2:10">
      <c r="B53" s="33">
        <v>2135</v>
      </c>
      <c r="C53" s="2">
        <v>42978</v>
      </c>
      <c r="D53" s="3" t="s">
        <v>248</v>
      </c>
      <c r="E53" s="4">
        <v>-5948.33</v>
      </c>
      <c r="F53" s="5">
        <v>43069</v>
      </c>
      <c r="G53" s="6">
        <f ca="1">RANDBETWEEN(0,-Chequeras[[#This Row],[IMPORTE]])</f>
        <v>4557</v>
      </c>
      <c r="H53" s="24" t="s">
        <v>247</v>
      </c>
      <c r="I53" s="32" t="s">
        <v>206</v>
      </c>
      <c r="J53" s="32">
        <v>94</v>
      </c>
    </row>
    <row r="54" spans="2:10">
      <c r="B54" s="33">
        <v>2136</v>
      </c>
      <c r="C54" s="2">
        <v>42978</v>
      </c>
      <c r="D54" s="3" t="s">
        <v>249</v>
      </c>
      <c r="E54" s="4">
        <v>-5949.32</v>
      </c>
      <c r="F54" s="5">
        <v>43049</v>
      </c>
      <c r="G54" s="6">
        <f ca="1">RANDBETWEEN(0,-Chequeras[[#This Row],[IMPORTE]])</f>
        <v>5206</v>
      </c>
      <c r="H54" s="24" t="s">
        <v>247</v>
      </c>
      <c r="I54" s="32" t="s">
        <v>206</v>
      </c>
      <c r="J54" s="32">
        <v>94</v>
      </c>
    </row>
    <row r="55" spans="2:10">
      <c r="B55" s="33">
        <v>2137</v>
      </c>
      <c r="C55" s="2">
        <v>42978</v>
      </c>
      <c r="D55" s="3" t="s">
        <v>250</v>
      </c>
      <c r="E55" s="4">
        <v>-5679.32</v>
      </c>
      <c r="F55" s="5">
        <v>43039</v>
      </c>
      <c r="G55" s="6">
        <f ca="1">RANDBETWEEN(0,-Chequeras[[#This Row],[IMPORTE]])</f>
        <v>2083</v>
      </c>
      <c r="H55" s="24" t="s">
        <v>251</v>
      </c>
      <c r="I55" s="32" t="s">
        <v>206</v>
      </c>
      <c r="J55" s="32">
        <v>94</v>
      </c>
    </row>
    <row r="56" spans="2:10">
      <c r="B56" s="33">
        <v>2138</v>
      </c>
      <c r="C56" s="10">
        <v>42978</v>
      </c>
      <c r="D56" s="28" t="s">
        <v>252</v>
      </c>
      <c r="E56" s="11">
        <v>-2272.0700000000002</v>
      </c>
      <c r="F56" s="12">
        <v>43020</v>
      </c>
      <c r="G56" s="6">
        <f ca="1">RANDBETWEEN(0,-Chequeras[[#This Row],[IMPORTE]])</f>
        <v>1553</v>
      </c>
      <c r="H56" s="24" t="s">
        <v>253</v>
      </c>
      <c r="I56" s="32" t="s">
        <v>206</v>
      </c>
      <c r="J56" s="32">
        <v>94</v>
      </c>
    </row>
    <row r="57" spans="2:10">
      <c r="B57" s="33">
        <v>2139</v>
      </c>
      <c r="C57" s="10">
        <v>42989</v>
      </c>
      <c r="D57" s="28" t="s">
        <v>254</v>
      </c>
      <c r="E57" s="11">
        <v>-6175.91</v>
      </c>
      <c r="F57" s="12">
        <v>42997</v>
      </c>
      <c r="G57" s="6">
        <f ca="1">RANDBETWEEN(0,-Chequeras[[#This Row],[IMPORTE]])</f>
        <v>2846</v>
      </c>
      <c r="H57" s="24" t="s">
        <v>255</v>
      </c>
      <c r="I57" s="32" t="s">
        <v>206</v>
      </c>
      <c r="J57" s="32">
        <v>94</v>
      </c>
    </row>
    <row r="58" spans="2:10">
      <c r="B58" s="33">
        <v>2140</v>
      </c>
      <c r="C58" s="10">
        <v>42989</v>
      </c>
      <c r="D58" s="28" t="s">
        <v>256</v>
      </c>
      <c r="E58" s="11">
        <v>-8920</v>
      </c>
      <c r="F58" s="12">
        <v>43020</v>
      </c>
      <c r="G58" s="6">
        <f ca="1">RANDBETWEEN(0,-Chequeras[[#This Row],[IMPORTE]])</f>
        <v>2815</v>
      </c>
      <c r="H58" s="24" t="s">
        <v>257</v>
      </c>
      <c r="I58" s="32" t="s">
        <v>206</v>
      </c>
      <c r="J58" s="32">
        <v>94</v>
      </c>
    </row>
    <row r="59" spans="2:10">
      <c r="B59" s="33">
        <v>2141</v>
      </c>
      <c r="C59" s="2">
        <v>42989</v>
      </c>
      <c r="D59" s="3" t="s">
        <v>258</v>
      </c>
      <c r="E59" s="4">
        <v>-8920</v>
      </c>
      <c r="F59" s="5">
        <v>43039</v>
      </c>
      <c r="G59" s="6">
        <f ca="1">RANDBETWEEN(0,-Chequeras[[#This Row],[IMPORTE]])</f>
        <v>3873</v>
      </c>
      <c r="H59" s="24" t="s">
        <v>259</v>
      </c>
      <c r="I59" s="32" t="s">
        <v>206</v>
      </c>
      <c r="J59" s="32">
        <v>94</v>
      </c>
    </row>
    <row r="60" spans="2:10">
      <c r="B60" s="33">
        <v>2142</v>
      </c>
      <c r="C60" s="10">
        <v>42989</v>
      </c>
      <c r="D60" s="28" t="s">
        <v>260</v>
      </c>
      <c r="E60" s="11">
        <v>-3000</v>
      </c>
      <c r="F60" s="12">
        <v>43020</v>
      </c>
      <c r="G60" s="6">
        <f ca="1">RANDBETWEEN(0,-Chequeras[[#This Row],[IMPORTE]])</f>
        <v>1316</v>
      </c>
      <c r="H60" s="24" t="s">
        <v>261</v>
      </c>
      <c r="I60" s="32" t="s">
        <v>206</v>
      </c>
      <c r="J60" s="32">
        <v>94</v>
      </c>
    </row>
    <row r="61" spans="2:10">
      <c r="B61" s="33">
        <v>2143</v>
      </c>
      <c r="C61" s="10">
        <v>43000</v>
      </c>
      <c r="D61" s="28" t="s">
        <v>262</v>
      </c>
      <c r="E61" s="11">
        <v>-16900</v>
      </c>
      <c r="F61" s="12">
        <v>43000</v>
      </c>
      <c r="G61" s="6">
        <f ca="1">RANDBETWEEN(0,-Chequeras[[#This Row],[IMPORTE]])</f>
        <v>5861</v>
      </c>
      <c r="H61" s="24" t="s">
        <v>263</v>
      </c>
      <c r="I61" s="32" t="s">
        <v>206</v>
      </c>
      <c r="J61" s="32">
        <v>94</v>
      </c>
    </row>
    <row r="62" spans="2:10">
      <c r="B62" s="33">
        <v>2144</v>
      </c>
      <c r="C62" s="2">
        <v>43000</v>
      </c>
      <c r="D62" s="3" t="s">
        <v>264</v>
      </c>
      <c r="E62" s="8">
        <v>0</v>
      </c>
      <c r="F62" s="9">
        <v>43000</v>
      </c>
      <c r="G62" s="6">
        <f ca="1">RANDBETWEEN(0,-Chequeras[[#This Row],[IMPORTE]])</f>
        <v>0</v>
      </c>
      <c r="H62" s="24" t="s">
        <v>161</v>
      </c>
      <c r="I62" s="32" t="s">
        <v>206</v>
      </c>
      <c r="J62" s="32">
        <v>94</v>
      </c>
    </row>
    <row r="63" spans="2:10">
      <c r="B63" s="33">
        <v>2145</v>
      </c>
      <c r="C63" s="2">
        <v>43000</v>
      </c>
      <c r="D63" s="3" t="s">
        <v>265</v>
      </c>
      <c r="E63" s="8">
        <v>0</v>
      </c>
      <c r="F63" s="9">
        <v>43000</v>
      </c>
      <c r="G63" s="6">
        <f ca="1">RANDBETWEEN(0,-Chequeras[[#This Row],[IMPORTE]])</f>
        <v>0</v>
      </c>
      <c r="H63" s="24" t="s">
        <v>161</v>
      </c>
      <c r="I63" s="32" t="s">
        <v>206</v>
      </c>
      <c r="J63" s="32">
        <v>94</v>
      </c>
    </row>
    <row r="64" spans="2:10">
      <c r="B64" s="33">
        <v>2146</v>
      </c>
      <c r="C64" s="29">
        <v>43000</v>
      </c>
      <c r="D64" s="28" t="s">
        <v>266</v>
      </c>
      <c r="E64" s="11">
        <v>-6000</v>
      </c>
      <c r="F64" s="12">
        <v>43003</v>
      </c>
      <c r="G64" s="6">
        <f ca="1">RANDBETWEEN(0,-Chequeras[[#This Row],[IMPORTE]])</f>
        <v>373</v>
      </c>
      <c r="H64" s="24" t="s">
        <v>167</v>
      </c>
      <c r="I64" s="32" t="s">
        <v>206</v>
      </c>
      <c r="J64" s="32">
        <v>94</v>
      </c>
    </row>
    <row r="65" spans="2:10">
      <c r="B65" s="33">
        <v>2147</v>
      </c>
      <c r="C65" s="2">
        <v>43003</v>
      </c>
      <c r="D65" s="3" t="s">
        <v>267</v>
      </c>
      <c r="E65" s="4">
        <v>-2934</v>
      </c>
      <c r="F65" s="5">
        <v>43018</v>
      </c>
      <c r="G65" s="6">
        <f ca="1">RANDBETWEEN(0,-Chequeras[[#This Row],[IMPORTE]])</f>
        <v>2460</v>
      </c>
      <c r="H65" s="24" t="s">
        <v>268</v>
      </c>
      <c r="I65" s="32" t="s">
        <v>206</v>
      </c>
      <c r="J65" s="32">
        <v>94</v>
      </c>
    </row>
    <row r="66" spans="2:10">
      <c r="B66" s="33">
        <v>2148</v>
      </c>
      <c r="C66" s="29">
        <v>43006</v>
      </c>
      <c r="D66" s="28" t="s">
        <v>269</v>
      </c>
      <c r="E66" s="11">
        <v>-33000</v>
      </c>
      <c r="F66" s="12">
        <v>43007</v>
      </c>
      <c r="G66" s="6">
        <f ca="1">RANDBETWEEN(0,-Chequeras[[#This Row],[IMPORTE]])</f>
        <v>11208</v>
      </c>
      <c r="H66" s="24" t="s">
        <v>162</v>
      </c>
      <c r="I66" s="32" t="s">
        <v>206</v>
      </c>
      <c r="J66" s="32">
        <v>94</v>
      </c>
    </row>
    <row r="67" spans="2:10">
      <c r="B67" s="33">
        <v>2149</v>
      </c>
      <c r="C67" s="10">
        <v>43006</v>
      </c>
      <c r="D67" s="28" t="s">
        <v>270</v>
      </c>
      <c r="E67" s="11">
        <v>-9430.33</v>
      </c>
      <c r="F67" s="12">
        <v>43011</v>
      </c>
      <c r="G67" s="6">
        <f ca="1">RANDBETWEEN(0,-Chequeras[[#This Row],[IMPORTE]])</f>
        <v>8356</v>
      </c>
      <c r="H67" s="24" t="s">
        <v>271</v>
      </c>
      <c r="I67" s="32" t="s">
        <v>206</v>
      </c>
      <c r="J67" s="32">
        <v>94</v>
      </c>
    </row>
    <row r="68" spans="2:10">
      <c r="B68" s="33">
        <v>2150</v>
      </c>
      <c r="C68" s="10">
        <v>43006</v>
      </c>
      <c r="D68" s="28" t="s">
        <v>272</v>
      </c>
      <c r="E68" s="11">
        <v>-50000</v>
      </c>
      <c r="F68" s="12">
        <v>43010</v>
      </c>
      <c r="G68" s="6">
        <f ca="1">RANDBETWEEN(0,-Chequeras[[#This Row],[IMPORTE]])</f>
        <v>35714</v>
      </c>
      <c r="H68" s="24" t="s">
        <v>162</v>
      </c>
      <c r="I68" s="32" t="s">
        <v>206</v>
      </c>
      <c r="J68" s="32">
        <v>94</v>
      </c>
    </row>
    <row r="69" spans="2:10">
      <c r="B69" s="33">
        <v>2151</v>
      </c>
      <c r="C69" s="29">
        <v>43011</v>
      </c>
      <c r="D69" s="28" t="s">
        <v>273</v>
      </c>
      <c r="E69" s="11">
        <v>-15800</v>
      </c>
      <c r="F69" s="12">
        <v>43013</v>
      </c>
      <c r="G69" s="6">
        <f ca="1">RANDBETWEEN(0,-Chequeras[[#This Row],[IMPORTE]])</f>
        <v>10951</v>
      </c>
      <c r="H69" s="24" t="s">
        <v>274</v>
      </c>
      <c r="I69" s="32" t="s">
        <v>206</v>
      </c>
      <c r="J69" s="32">
        <v>94</v>
      </c>
    </row>
    <row r="70" spans="2:10">
      <c r="B70" s="33">
        <v>2152</v>
      </c>
      <c r="C70" s="29">
        <v>43011</v>
      </c>
      <c r="D70" s="28" t="s">
        <v>275</v>
      </c>
      <c r="E70" s="11">
        <v>-8000</v>
      </c>
      <c r="F70" s="12">
        <v>43014</v>
      </c>
      <c r="G70" s="6">
        <f ca="1">RANDBETWEEN(0,-Chequeras[[#This Row],[IMPORTE]])</f>
        <v>3686</v>
      </c>
      <c r="H70" s="24" t="s">
        <v>276</v>
      </c>
      <c r="I70" s="32" t="s">
        <v>206</v>
      </c>
      <c r="J70" s="32">
        <v>94</v>
      </c>
    </row>
    <row r="71" spans="2:10">
      <c r="B71" s="33">
        <v>2153</v>
      </c>
      <c r="C71" s="29">
        <v>43013</v>
      </c>
      <c r="D71" s="28" t="s">
        <v>277</v>
      </c>
      <c r="E71" s="11">
        <v>-3800</v>
      </c>
      <c r="F71" s="12">
        <v>43013</v>
      </c>
      <c r="G71" s="6">
        <f ca="1">RANDBETWEEN(0,-Chequeras[[#This Row],[IMPORTE]])</f>
        <v>3044</v>
      </c>
      <c r="H71" s="24" t="s">
        <v>278</v>
      </c>
      <c r="I71" s="32" t="s">
        <v>206</v>
      </c>
      <c r="J71" s="32">
        <v>94</v>
      </c>
    </row>
    <row r="72" spans="2:10">
      <c r="B72" s="33">
        <v>2154</v>
      </c>
      <c r="C72" s="2">
        <v>43014</v>
      </c>
      <c r="D72" s="3" t="s">
        <v>279</v>
      </c>
      <c r="E72" s="4">
        <v>-105553</v>
      </c>
      <c r="F72" s="5">
        <v>43120</v>
      </c>
      <c r="G72" s="6">
        <f ca="1">RANDBETWEEN(0,-Chequeras[[#This Row],[IMPORTE]])</f>
        <v>74168</v>
      </c>
      <c r="H72" s="24" t="s">
        <v>280</v>
      </c>
      <c r="I72" s="32" t="s">
        <v>206</v>
      </c>
      <c r="J72" s="32">
        <v>94</v>
      </c>
    </row>
    <row r="73" spans="2:10">
      <c r="B73" s="33">
        <v>2155</v>
      </c>
      <c r="C73" s="2">
        <v>43014</v>
      </c>
      <c r="D73" s="3" t="s">
        <v>281</v>
      </c>
      <c r="E73" s="4">
        <v>-105553</v>
      </c>
      <c r="F73" s="5">
        <v>43151</v>
      </c>
      <c r="G73" s="6">
        <f ca="1">RANDBETWEEN(0,-Chequeras[[#This Row],[IMPORTE]])</f>
        <v>16504</v>
      </c>
      <c r="H73" s="24" t="s">
        <v>280</v>
      </c>
      <c r="I73" s="32" t="s">
        <v>206</v>
      </c>
      <c r="J73" s="32">
        <v>94</v>
      </c>
    </row>
    <row r="74" spans="2:10">
      <c r="B74" s="33">
        <v>2156</v>
      </c>
      <c r="C74" s="2">
        <v>43014</v>
      </c>
      <c r="D74" s="3" t="s">
        <v>282</v>
      </c>
      <c r="E74" s="4">
        <v>-105555.43</v>
      </c>
      <c r="F74" s="5">
        <v>43200</v>
      </c>
      <c r="G74" s="6">
        <f ca="1">RANDBETWEEN(0,-Chequeras[[#This Row],[IMPORTE]])</f>
        <v>26435</v>
      </c>
      <c r="H74" s="24" t="s">
        <v>280</v>
      </c>
      <c r="I74" s="32" t="s">
        <v>206</v>
      </c>
      <c r="J74" s="32">
        <v>94</v>
      </c>
    </row>
    <row r="75" spans="2:10">
      <c r="B75" s="33">
        <v>2157</v>
      </c>
      <c r="C75" s="2">
        <v>43014</v>
      </c>
      <c r="D75" s="3" t="s">
        <v>283</v>
      </c>
      <c r="E75" s="4">
        <v>-105553</v>
      </c>
      <c r="F75" s="5">
        <v>43179</v>
      </c>
      <c r="G75" s="6">
        <f ca="1">RANDBETWEEN(0,-Chequeras[[#This Row],[IMPORTE]])</f>
        <v>21247</v>
      </c>
      <c r="H75" s="24" t="s">
        <v>280</v>
      </c>
      <c r="I75" s="32" t="s">
        <v>206</v>
      </c>
      <c r="J75" s="32">
        <v>94</v>
      </c>
    </row>
    <row r="76" spans="2:10">
      <c r="B76" s="33">
        <v>2158</v>
      </c>
      <c r="C76" s="10">
        <v>42996</v>
      </c>
      <c r="D76" s="28" t="s">
        <v>284</v>
      </c>
      <c r="E76" s="11">
        <v>-2049.5300000000002</v>
      </c>
      <c r="F76" s="12">
        <v>42999</v>
      </c>
      <c r="G76" s="6">
        <f ca="1">RANDBETWEEN(0,-Chequeras[[#This Row],[IMPORTE]])</f>
        <v>378</v>
      </c>
      <c r="H76" s="24" t="s">
        <v>285</v>
      </c>
      <c r="I76" s="32" t="s">
        <v>206</v>
      </c>
      <c r="J76" s="32">
        <v>95</v>
      </c>
    </row>
    <row r="77" spans="2:10">
      <c r="B77" s="33">
        <v>2159</v>
      </c>
      <c r="C77" s="10">
        <v>42996</v>
      </c>
      <c r="D77" s="28" t="s">
        <v>286</v>
      </c>
      <c r="E77" s="11">
        <v>-56036.99</v>
      </c>
      <c r="F77" s="12">
        <v>42999</v>
      </c>
      <c r="G77" s="6">
        <f ca="1">RANDBETWEEN(0,-Chequeras[[#This Row],[IMPORTE]])</f>
        <v>17199</v>
      </c>
      <c r="H77" s="24" t="s">
        <v>285</v>
      </c>
      <c r="I77" s="32" t="s">
        <v>206</v>
      </c>
      <c r="J77" s="32">
        <v>95</v>
      </c>
    </row>
    <row r="78" spans="2:10">
      <c r="B78" s="33">
        <v>2160</v>
      </c>
      <c r="C78" s="29">
        <v>42996</v>
      </c>
      <c r="D78" s="28" t="s">
        <v>287</v>
      </c>
      <c r="E78" s="11">
        <v>-149189.04999999999</v>
      </c>
      <c r="F78" s="12">
        <v>42997</v>
      </c>
      <c r="G78" s="6">
        <f ca="1">RANDBETWEEN(0,-Chequeras[[#This Row],[IMPORTE]])</f>
        <v>110494</v>
      </c>
      <c r="H78" s="24" t="s">
        <v>288</v>
      </c>
      <c r="I78" s="32" t="s">
        <v>206</v>
      </c>
      <c r="J78" s="32">
        <v>95</v>
      </c>
    </row>
    <row r="79" spans="2:10">
      <c r="B79" s="33">
        <v>2161</v>
      </c>
      <c r="C79" s="29">
        <v>42997</v>
      </c>
      <c r="D79" s="28" t="s">
        <v>289</v>
      </c>
      <c r="E79" s="11">
        <v>-50000</v>
      </c>
      <c r="F79" s="12">
        <v>42997</v>
      </c>
      <c r="G79" s="6">
        <f ca="1">RANDBETWEEN(0,-Chequeras[[#This Row],[IMPORTE]])</f>
        <v>29683</v>
      </c>
      <c r="H79" s="24" t="s">
        <v>162</v>
      </c>
      <c r="I79" s="32" t="s">
        <v>206</v>
      </c>
      <c r="J79" s="32">
        <v>95</v>
      </c>
    </row>
    <row r="80" spans="2:10">
      <c r="B80" s="33">
        <v>2162</v>
      </c>
      <c r="C80" s="29">
        <v>42997</v>
      </c>
      <c r="D80" s="28" t="s">
        <v>290</v>
      </c>
      <c r="E80" s="11">
        <v>-50000</v>
      </c>
      <c r="F80" s="12">
        <v>42997</v>
      </c>
      <c r="G80" s="6">
        <f ca="1">RANDBETWEEN(0,-Chequeras[[#This Row],[IMPORTE]])</f>
        <v>30426</v>
      </c>
      <c r="H80" s="24" t="s">
        <v>162</v>
      </c>
      <c r="I80" s="32" t="s">
        <v>206</v>
      </c>
      <c r="J80" s="32">
        <v>95</v>
      </c>
    </row>
    <row r="81" spans="2:10">
      <c r="B81" s="33">
        <v>2163</v>
      </c>
      <c r="C81" s="29">
        <v>42997</v>
      </c>
      <c r="D81" s="28" t="s">
        <v>291</v>
      </c>
      <c r="E81" s="11">
        <v>-50000</v>
      </c>
      <c r="F81" s="12">
        <v>42997</v>
      </c>
      <c r="G81" s="6">
        <f ca="1">RANDBETWEEN(0,-Chequeras[[#This Row],[IMPORTE]])</f>
        <v>22819</v>
      </c>
      <c r="H81" s="24" t="s">
        <v>162</v>
      </c>
      <c r="I81" s="32" t="s">
        <v>206</v>
      </c>
      <c r="J81" s="32">
        <v>95</v>
      </c>
    </row>
    <row r="82" spans="2:10">
      <c r="B82" s="33">
        <v>2164</v>
      </c>
      <c r="C82" s="29">
        <v>42997</v>
      </c>
      <c r="D82" s="28" t="s">
        <v>292</v>
      </c>
      <c r="E82" s="11">
        <v>-50000</v>
      </c>
      <c r="F82" s="12">
        <v>42997</v>
      </c>
      <c r="G82" s="6">
        <f ca="1">RANDBETWEEN(0,-Chequeras[[#This Row],[IMPORTE]])</f>
        <v>9252</v>
      </c>
      <c r="H82" s="24" t="s">
        <v>162</v>
      </c>
      <c r="I82" s="32" t="s">
        <v>206</v>
      </c>
      <c r="J82" s="32">
        <v>95</v>
      </c>
    </row>
    <row r="83" spans="2:10">
      <c r="B83" s="33">
        <v>2165</v>
      </c>
      <c r="C83" s="2">
        <v>42999</v>
      </c>
      <c r="D83" s="3" t="s">
        <v>293</v>
      </c>
      <c r="E83" s="8">
        <v>0</v>
      </c>
      <c r="F83" s="9">
        <v>42999</v>
      </c>
      <c r="G83" s="6">
        <f ca="1">RANDBETWEEN(0,-Chequeras[[#This Row],[IMPORTE]])</f>
        <v>0</v>
      </c>
      <c r="H83" s="24" t="s">
        <v>161</v>
      </c>
      <c r="I83" s="32" t="s">
        <v>206</v>
      </c>
      <c r="J83" s="32">
        <v>95</v>
      </c>
    </row>
    <row r="84" spans="2:10">
      <c r="B84" s="33">
        <v>2166</v>
      </c>
      <c r="C84" s="2">
        <v>43007</v>
      </c>
      <c r="D84" s="3" t="s">
        <v>294</v>
      </c>
      <c r="E84" s="8">
        <v>0</v>
      </c>
      <c r="F84" s="9">
        <v>43007</v>
      </c>
      <c r="G84" s="6">
        <f ca="1">RANDBETWEEN(0,-Chequeras[[#This Row],[IMPORTE]])</f>
        <v>0</v>
      </c>
      <c r="H84" s="24" t="s">
        <v>161</v>
      </c>
      <c r="I84" s="32" t="s">
        <v>206</v>
      </c>
      <c r="J84" s="32">
        <v>95</v>
      </c>
    </row>
    <row r="85" spans="2:10">
      <c r="B85" s="33">
        <v>2167</v>
      </c>
      <c r="C85" s="2">
        <v>43010</v>
      </c>
      <c r="D85" s="3" t="s">
        <v>295</v>
      </c>
      <c r="E85" s="8">
        <v>0</v>
      </c>
      <c r="F85" s="9">
        <v>43010</v>
      </c>
      <c r="G85" s="6">
        <f ca="1">RANDBETWEEN(0,-Chequeras[[#This Row],[IMPORTE]])</f>
        <v>0</v>
      </c>
      <c r="H85" s="24" t="s">
        <v>161</v>
      </c>
      <c r="I85" s="32" t="s">
        <v>206</v>
      </c>
      <c r="J85" s="32">
        <v>95</v>
      </c>
    </row>
    <row r="86" spans="2:10">
      <c r="B86" s="33">
        <v>2168</v>
      </c>
      <c r="C86" s="2">
        <v>43010</v>
      </c>
      <c r="D86" s="3" t="s">
        <v>296</v>
      </c>
      <c r="E86" s="4">
        <v>-36471.94</v>
      </c>
      <c r="F86" s="5">
        <v>43010</v>
      </c>
      <c r="G86" s="6">
        <f ca="1">RANDBETWEEN(0,-Chequeras[[#This Row],[IMPORTE]])</f>
        <v>1718</v>
      </c>
      <c r="H86" s="24" t="s">
        <v>297</v>
      </c>
      <c r="I86" s="32" t="s">
        <v>206</v>
      </c>
      <c r="J86" s="32">
        <v>95</v>
      </c>
    </row>
    <row r="87" spans="2:10">
      <c r="B87" s="33">
        <v>2169</v>
      </c>
      <c r="C87" s="29">
        <v>42985</v>
      </c>
      <c r="D87" s="28" t="s">
        <v>298</v>
      </c>
      <c r="E87" s="11">
        <v>-10000</v>
      </c>
      <c r="F87" s="12">
        <v>43017</v>
      </c>
      <c r="G87" s="6">
        <f ca="1">RANDBETWEEN(0,-Chequeras[[#This Row],[IMPORTE]])</f>
        <v>9566</v>
      </c>
      <c r="H87" s="24" t="s">
        <v>299</v>
      </c>
      <c r="I87" s="32" t="s">
        <v>206</v>
      </c>
      <c r="J87" s="32">
        <v>95</v>
      </c>
    </row>
    <row r="88" spans="2:10">
      <c r="B88" s="33">
        <v>2170</v>
      </c>
      <c r="C88" s="2">
        <v>43019</v>
      </c>
      <c r="D88" s="3" t="s">
        <v>300</v>
      </c>
      <c r="E88" s="4">
        <v>-8078.2</v>
      </c>
      <c r="F88" s="5">
        <v>43050</v>
      </c>
      <c r="G88" s="6">
        <f ca="1">RANDBETWEEN(0,-Chequeras[[#This Row],[IMPORTE]])</f>
        <v>1991</v>
      </c>
      <c r="H88" s="24" t="s">
        <v>239</v>
      </c>
      <c r="I88" s="32" t="s">
        <v>166</v>
      </c>
      <c r="J88" s="32"/>
    </row>
    <row r="89" spans="2:10">
      <c r="B89" s="33">
        <v>2171</v>
      </c>
      <c r="C89" s="2">
        <v>43019</v>
      </c>
      <c r="D89" s="3" t="s">
        <v>301</v>
      </c>
      <c r="E89" s="4">
        <v>-20000</v>
      </c>
      <c r="F89" s="5">
        <v>43044</v>
      </c>
      <c r="G89" s="6">
        <f ca="1">RANDBETWEEN(0,-Chequeras[[#This Row],[IMPORTE]])</f>
        <v>3806</v>
      </c>
      <c r="H89" s="24" t="s">
        <v>171</v>
      </c>
      <c r="I89" s="32" t="s">
        <v>166</v>
      </c>
      <c r="J89" s="32"/>
    </row>
    <row r="90" spans="2:10">
      <c r="B90" s="33">
        <v>2172</v>
      </c>
      <c r="C90" s="2">
        <v>43019</v>
      </c>
      <c r="D90" s="3" t="s">
        <v>302</v>
      </c>
      <c r="E90" s="4">
        <v>-27106.52</v>
      </c>
      <c r="F90" s="5">
        <v>43054</v>
      </c>
      <c r="G90" s="6">
        <f ca="1">RANDBETWEEN(0,-Chequeras[[#This Row],[IMPORTE]])</f>
        <v>3960</v>
      </c>
      <c r="H90" s="24" t="s">
        <v>171</v>
      </c>
      <c r="I90" s="32" t="s">
        <v>166</v>
      </c>
      <c r="J90" s="32"/>
    </row>
    <row r="91" spans="2:10">
      <c r="B91" s="33">
        <v>2173</v>
      </c>
      <c r="C91" s="2">
        <v>43019</v>
      </c>
      <c r="D91" s="3" t="s">
        <v>303</v>
      </c>
      <c r="E91" s="4">
        <v>-7520.69</v>
      </c>
      <c r="F91" s="5">
        <v>43059</v>
      </c>
      <c r="G91" s="6">
        <f ca="1">RANDBETWEEN(0,-Chequeras[[#This Row],[IMPORTE]])</f>
        <v>5547</v>
      </c>
      <c r="H91" s="24" t="s">
        <v>280</v>
      </c>
      <c r="I91" s="32" t="s">
        <v>166</v>
      </c>
      <c r="J91" s="32"/>
    </row>
    <row r="92" spans="2:10">
      <c r="B92" s="33">
        <v>2174</v>
      </c>
      <c r="C92" s="2">
        <v>43019</v>
      </c>
      <c r="D92" s="3" t="s">
        <v>304</v>
      </c>
      <c r="E92" s="4">
        <v>-12000</v>
      </c>
      <c r="F92" s="5">
        <v>43049</v>
      </c>
      <c r="G92" s="6">
        <f ca="1">RANDBETWEEN(0,-Chequeras[[#This Row],[IMPORTE]])</f>
        <v>8247</v>
      </c>
      <c r="H92" s="24" t="s">
        <v>305</v>
      </c>
      <c r="I92" s="32" t="s">
        <v>166</v>
      </c>
      <c r="J92" s="32"/>
    </row>
    <row r="93" spans="2:10">
      <c r="B93" s="33">
        <v>2175</v>
      </c>
      <c r="C93" s="2">
        <v>43019</v>
      </c>
      <c r="D93" s="3" t="s">
        <v>306</v>
      </c>
      <c r="E93" s="4">
        <v>-12000</v>
      </c>
      <c r="F93" s="5">
        <v>43079</v>
      </c>
      <c r="G93" s="6">
        <f ca="1">RANDBETWEEN(0,-Chequeras[[#This Row],[IMPORTE]])</f>
        <v>10691</v>
      </c>
      <c r="H93" s="24" t="s">
        <v>305</v>
      </c>
      <c r="I93" s="32" t="s">
        <v>166</v>
      </c>
      <c r="J93" s="32"/>
    </row>
    <row r="94" spans="2:10">
      <c r="B94" s="33">
        <v>2176</v>
      </c>
      <c r="C94" s="2">
        <v>43019</v>
      </c>
      <c r="D94" s="3" t="s">
        <v>307</v>
      </c>
      <c r="E94" s="4">
        <v>-12000</v>
      </c>
      <c r="F94" s="5">
        <v>43109</v>
      </c>
      <c r="G94" s="6">
        <f ca="1">RANDBETWEEN(0,-Chequeras[[#This Row],[IMPORTE]])</f>
        <v>2531</v>
      </c>
      <c r="H94" s="24" t="s">
        <v>305</v>
      </c>
      <c r="I94" s="32" t="s">
        <v>166</v>
      </c>
      <c r="J94" s="32"/>
    </row>
    <row r="95" spans="2:10">
      <c r="B95" s="33">
        <v>2177</v>
      </c>
      <c r="C95" s="2">
        <v>43019</v>
      </c>
      <c r="D95" s="3" t="s">
        <v>308</v>
      </c>
      <c r="E95" s="4">
        <v>-13457.36</v>
      </c>
      <c r="F95" s="5">
        <v>43139</v>
      </c>
      <c r="G95" s="6">
        <f ca="1">RANDBETWEEN(0,-Chequeras[[#This Row],[IMPORTE]])</f>
        <v>12809</v>
      </c>
      <c r="H95" s="24" t="s">
        <v>305</v>
      </c>
      <c r="I95" s="32" t="s">
        <v>166</v>
      </c>
      <c r="J95" s="32"/>
    </row>
    <row r="96" spans="2:10">
      <c r="B96" s="33">
        <v>2178</v>
      </c>
      <c r="C96" s="2">
        <v>43019</v>
      </c>
      <c r="D96" s="3" t="s">
        <v>309</v>
      </c>
      <c r="E96" s="4">
        <v>-2380.5500000000002</v>
      </c>
      <c r="F96" s="5">
        <v>43039</v>
      </c>
      <c r="G96" s="6">
        <f ca="1">RANDBETWEEN(0,-Chequeras[[#This Row],[IMPORTE]])</f>
        <v>162</v>
      </c>
      <c r="H96" s="24" t="s">
        <v>169</v>
      </c>
      <c r="I96" s="32" t="s">
        <v>166</v>
      </c>
      <c r="J96" s="32"/>
    </row>
    <row r="97" spans="2:10">
      <c r="B97" s="33">
        <v>2179</v>
      </c>
      <c r="C97" s="2">
        <v>43019</v>
      </c>
      <c r="D97" s="3" t="s">
        <v>310</v>
      </c>
      <c r="E97" s="4">
        <v>-4748.6499999999996</v>
      </c>
      <c r="F97" s="5">
        <v>43019</v>
      </c>
      <c r="G97" s="6">
        <f ca="1">RANDBETWEEN(0,-Chequeras[[#This Row],[IMPORTE]])</f>
        <v>4631</v>
      </c>
      <c r="H97" s="24" t="s">
        <v>311</v>
      </c>
      <c r="I97" s="32" t="s">
        <v>166</v>
      </c>
      <c r="J97" s="32"/>
    </row>
    <row r="98" spans="2:10">
      <c r="B98" s="33">
        <v>2180</v>
      </c>
      <c r="C98" s="2">
        <v>43019</v>
      </c>
      <c r="D98" s="3" t="s">
        <v>312</v>
      </c>
      <c r="E98" s="4">
        <v>-1845.25</v>
      </c>
      <c r="F98" s="5">
        <v>43019</v>
      </c>
      <c r="G98" s="6">
        <f ca="1">RANDBETWEEN(0,-Chequeras[[#This Row],[IMPORTE]])</f>
        <v>477</v>
      </c>
      <c r="H98" s="24" t="s">
        <v>313</v>
      </c>
      <c r="I98" s="32" t="s">
        <v>166</v>
      </c>
      <c r="J98" s="32"/>
    </row>
    <row r="99" spans="2:10">
      <c r="B99" s="33">
        <v>2181</v>
      </c>
      <c r="C99" s="2">
        <v>43019</v>
      </c>
      <c r="D99" s="3" t="s">
        <v>314</v>
      </c>
      <c r="E99" s="4">
        <v>-7597.49</v>
      </c>
      <c r="F99" s="5">
        <v>43029</v>
      </c>
      <c r="G99" s="6">
        <f ca="1">RANDBETWEEN(0,-Chequeras[[#This Row],[IMPORTE]])</f>
        <v>583</v>
      </c>
      <c r="H99" s="24" t="s">
        <v>315</v>
      </c>
      <c r="I99" s="32" t="s">
        <v>166</v>
      </c>
      <c r="J99" s="32"/>
    </row>
    <row r="100" spans="2:10">
      <c r="B100" s="33">
        <v>2182</v>
      </c>
      <c r="C100" s="10">
        <v>43019</v>
      </c>
      <c r="D100" s="28" t="s">
        <v>316</v>
      </c>
      <c r="E100" s="11">
        <v>-44740.5</v>
      </c>
      <c r="F100" s="12">
        <v>43021</v>
      </c>
      <c r="G100" s="6">
        <f ca="1">RANDBETWEEN(0,-Chequeras[[#This Row],[IMPORTE]])</f>
        <v>41189</v>
      </c>
      <c r="H100" s="24" t="s">
        <v>317</v>
      </c>
      <c r="I100" s="32" t="s">
        <v>166</v>
      </c>
      <c r="J100" s="32"/>
    </row>
    <row r="101" spans="2:10">
      <c r="B101" s="33">
        <v>2183</v>
      </c>
      <c r="C101" s="10">
        <v>43019</v>
      </c>
      <c r="D101" s="28" t="s">
        <v>318</v>
      </c>
      <c r="E101" s="11">
        <v>-17207.89</v>
      </c>
      <c r="F101" s="12">
        <v>43021</v>
      </c>
      <c r="G101" s="6">
        <f ca="1">RANDBETWEEN(0,-Chequeras[[#This Row],[IMPORTE]])</f>
        <v>9759</v>
      </c>
      <c r="H101" s="24" t="s">
        <v>319</v>
      </c>
      <c r="I101" s="32" t="s">
        <v>166</v>
      </c>
      <c r="J101" s="32"/>
    </row>
    <row r="102" spans="2:10">
      <c r="B102" s="33">
        <v>2184</v>
      </c>
      <c r="C102" s="2">
        <v>43019</v>
      </c>
      <c r="D102" s="3" t="s">
        <v>320</v>
      </c>
      <c r="E102" s="4">
        <v>-164847.37</v>
      </c>
      <c r="F102" s="5">
        <v>43044</v>
      </c>
      <c r="G102" s="6">
        <f ca="1">RANDBETWEEN(0,-Chequeras[[#This Row],[IMPORTE]])</f>
        <v>122426</v>
      </c>
      <c r="H102" s="24" t="s">
        <v>321</v>
      </c>
      <c r="I102" s="32" t="s">
        <v>166</v>
      </c>
      <c r="J102" s="32"/>
    </row>
    <row r="103" spans="2:10">
      <c r="B103" s="33">
        <v>2185</v>
      </c>
      <c r="C103" s="2">
        <v>43019</v>
      </c>
      <c r="D103" s="3" t="s">
        <v>322</v>
      </c>
      <c r="E103" s="4">
        <v>-164847.37</v>
      </c>
      <c r="F103" s="5">
        <v>43054</v>
      </c>
      <c r="G103" s="6">
        <f ca="1">RANDBETWEEN(0,-Chequeras[[#This Row],[IMPORTE]])</f>
        <v>163500</v>
      </c>
      <c r="H103" s="24" t="s">
        <v>321</v>
      </c>
      <c r="I103" s="32" t="s">
        <v>166</v>
      </c>
      <c r="J103" s="32"/>
    </row>
    <row r="104" spans="2:10">
      <c r="B104" s="33">
        <v>2186</v>
      </c>
      <c r="C104" s="2">
        <v>43019</v>
      </c>
      <c r="D104" s="3" t="s">
        <v>323</v>
      </c>
      <c r="E104" s="4">
        <v>-164847.37</v>
      </c>
      <c r="F104" s="5">
        <v>43059</v>
      </c>
      <c r="G104" s="6">
        <f ca="1">RANDBETWEEN(0,-Chequeras[[#This Row],[IMPORTE]])</f>
        <v>86041</v>
      </c>
      <c r="H104" s="24" t="s">
        <v>321</v>
      </c>
      <c r="I104" s="32" t="s">
        <v>166</v>
      </c>
      <c r="J104" s="32"/>
    </row>
    <row r="105" spans="2:10">
      <c r="B105" s="33">
        <v>2187</v>
      </c>
      <c r="C105" s="2">
        <v>43019</v>
      </c>
      <c r="D105" s="3" t="s">
        <v>324</v>
      </c>
      <c r="E105" s="4">
        <v>-164847.39000000001</v>
      </c>
      <c r="F105" s="5">
        <v>43064</v>
      </c>
      <c r="G105" s="6">
        <f ca="1">RANDBETWEEN(0,-Chequeras[[#This Row],[IMPORTE]])</f>
        <v>48942</v>
      </c>
      <c r="H105" s="24" t="s">
        <v>321</v>
      </c>
      <c r="I105" s="32" t="s">
        <v>166</v>
      </c>
      <c r="J105" s="32"/>
    </row>
  </sheetData>
  <mergeCells count="1">
    <mergeCell ref="C2:J3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epositos"/>
  <dimension ref="B1:K105"/>
  <sheetViews>
    <sheetView workbookViewId="0"/>
  </sheetViews>
  <sheetFormatPr baseColWidth="10" defaultColWidth="11" defaultRowHeight="15.75"/>
  <cols>
    <col min="1" max="1" width="3.625" style="35" customWidth="1"/>
    <col min="2" max="2" width="20.25" style="35" hidden="1" customWidth="1"/>
    <col min="3" max="3" width="13.125" style="35" bestFit="1" customWidth="1"/>
    <col min="4" max="4" width="11.625" style="35" bestFit="1" customWidth="1"/>
    <col min="5" max="5" width="14.375" style="35" bestFit="1" customWidth="1"/>
    <col min="6" max="6" width="13.25" style="35" bestFit="1" customWidth="1"/>
    <col min="7" max="7" width="15.625" style="35" bestFit="1" customWidth="1"/>
    <col min="8" max="8" width="42.125" style="35" bestFit="1" customWidth="1"/>
    <col min="9" max="9" width="11.5" style="35" bestFit="1" customWidth="1"/>
    <col min="10" max="10" width="10.875" style="35" bestFit="1" customWidth="1"/>
    <col min="11" max="11" width="0" style="35" hidden="1" customWidth="1"/>
    <col min="12" max="12" width="3.625" style="35" customWidth="1"/>
    <col min="13" max="13" width="13.875" style="35" bestFit="1" customWidth="1"/>
    <col min="14" max="16384" width="11" style="35"/>
  </cols>
  <sheetData>
    <row r="1" spans="2:11" ht="16.5" thickBot="1"/>
    <row r="2" spans="2:11">
      <c r="C2" s="43" t="s">
        <v>9</v>
      </c>
      <c r="D2" s="44"/>
      <c r="E2" s="44"/>
      <c r="F2" s="44"/>
      <c r="G2" s="44"/>
      <c r="H2" s="44"/>
      <c r="I2" s="44"/>
      <c r="J2" s="45"/>
    </row>
    <row r="3" spans="2:11" ht="16.5" thickBot="1">
      <c r="C3" s="46"/>
      <c r="D3" s="47"/>
      <c r="E3" s="47"/>
      <c r="F3" s="47"/>
      <c r="G3" s="47"/>
      <c r="H3" s="47"/>
      <c r="I3" s="47"/>
      <c r="J3" s="48"/>
    </row>
    <row r="5" spans="2:11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</row>
    <row r="6" spans="2:11">
      <c r="B6" s="33">
        <v>3127</v>
      </c>
      <c r="C6" s="37">
        <v>42958</v>
      </c>
      <c r="D6" s="13" t="s">
        <v>10</v>
      </c>
      <c r="E6" s="8">
        <v>351972.83</v>
      </c>
      <c r="F6" s="15">
        <v>42961</v>
      </c>
      <c r="G6" s="14">
        <f ca="1">RANDBETWEEN(0,Depositos[[#This Row],[IMPORTE]])</f>
        <v>21323</v>
      </c>
      <c r="H6" s="31" t="s">
        <v>16</v>
      </c>
      <c r="I6" s="32"/>
    </row>
    <row r="7" spans="2:11">
      <c r="B7" s="33">
        <v>3128</v>
      </c>
      <c r="C7" s="37">
        <v>42958</v>
      </c>
      <c r="D7" s="13" t="s">
        <v>10</v>
      </c>
      <c r="E7" s="8">
        <v>55216.32</v>
      </c>
      <c r="F7" s="15">
        <v>42961</v>
      </c>
      <c r="G7" s="14">
        <f ca="1">RANDBETWEEN(0,Depositos[[#This Row],[IMPORTE]])</f>
        <v>51680</v>
      </c>
      <c r="H7" s="31" t="s">
        <v>17</v>
      </c>
      <c r="I7" s="32"/>
    </row>
    <row r="8" spans="2:11">
      <c r="B8" s="33">
        <v>3129</v>
      </c>
      <c r="C8" s="37">
        <v>42962</v>
      </c>
      <c r="D8" s="13" t="s">
        <v>12</v>
      </c>
      <c r="E8" s="8">
        <v>150000</v>
      </c>
      <c r="F8" s="15">
        <v>42962</v>
      </c>
      <c r="G8" s="14">
        <f ca="1">RANDBETWEEN(0,Depositos[[#This Row],[IMPORTE]])</f>
        <v>28774</v>
      </c>
      <c r="H8" s="36" t="s">
        <v>14</v>
      </c>
      <c r="I8" s="32"/>
    </row>
    <row r="9" spans="2:11">
      <c r="B9" s="33">
        <v>3130</v>
      </c>
      <c r="C9" s="37">
        <v>42961</v>
      </c>
      <c r="D9" s="13" t="s">
        <v>10</v>
      </c>
      <c r="E9" s="8">
        <v>27743.72</v>
      </c>
      <c r="F9" s="15">
        <v>42962</v>
      </c>
      <c r="G9" s="14">
        <f ca="1">RANDBETWEEN(0,Depositos[[#This Row],[IMPORTE]])</f>
        <v>6715</v>
      </c>
      <c r="H9" s="31" t="s">
        <v>18</v>
      </c>
      <c r="I9" s="32"/>
    </row>
    <row r="10" spans="2:11">
      <c r="B10" s="33">
        <v>3131</v>
      </c>
      <c r="C10" s="37">
        <v>42961</v>
      </c>
      <c r="D10" s="13" t="s">
        <v>10</v>
      </c>
      <c r="E10" s="8">
        <v>71085.289999999994</v>
      </c>
      <c r="F10" s="15">
        <v>42962</v>
      </c>
      <c r="G10" s="14">
        <f ca="1">RANDBETWEEN(0,Depositos[[#This Row],[IMPORTE]])</f>
        <v>29249</v>
      </c>
      <c r="H10" s="31" t="s">
        <v>19</v>
      </c>
      <c r="I10" s="32"/>
    </row>
    <row r="11" spans="2:11">
      <c r="B11" s="33">
        <v>3132</v>
      </c>
      <c r="C11" s="37">
        <v>42961</v>
      </c>
      <c r="D11" s="13" t="s">
        <v>10</v>
      </c>
      <c r="E11" s="8">
        <v>71085.289999999994</v>
      </c>
      <c r="F11" s="15">
        <v>42962</v>
      </c>
      <c r="G11" s="14">
        <f ca="1">RANDBETWEEN(0,Depositos[[#This Row],[IMPORTE]])</f>
        <v>46794</v>
      </c>
      <c r="H11" s="31" t="s">
        <v>20</v>
      </c>
      <c r="I11" s="32"/>
    </row>
    <row r="12" spans="2:11">
      <c r="B12" s="33">
        <v>3133</v>
      </c>
      <c r="C12" s="37">
        <v>42961</v>
      </c>
      <c r="D12" s="13" t="s">
        <v>10</v>
      </c>
      <c r="E12" s="8">
        <v>35542.65</v>
      </c>
      <c r="F12" s="15">
        <v>42962</v>
      </c>
      <c r="G12" s="14">
        <f ca="1">RANDBETWEEN(0,Depositos[[#This Row],[IMPORTE]])</f>
        <v>486</v>
      </c>
      <c r="H12" s="31" t="s">
        <v>21</v>
      </c>
      <c r="I12" s="32"/>
    </row>
    <row r="13" spans="2:11">
      <c r="B13" s="33">
        <v>3134</v>
      </c>
      <c r="C13" s="37">
        <v>42961</v>
      </c>
      <c r="D13" s="13" t="s">
        <v>10</v>
      </c>
      <c r="E13" s="8">
        <v>71028.53</v>
      </c>
      <c r="F13" s="15">
        <v>42962</v>
      </c>
      <c r="G13" s="14">
        <f ca="1">RANDBETWEEN(0,Depositos[[#This Row],[IMPORTE]])</f>
        <v>10079</v>
      </c>
      <c r="H13" s="31" t="s">
        <v>22</v>
      </c>
      <c r="I13" s="32"/>
    </row>
    <row r="14" spans="2:11">
      <c r="B14" s="33">
        <v>3135</v>
      </c>
      <c r="C14" s="37">
        <v>42961</v>
      </c>
      <c r="D14" s="13" t="s">
        <v>10</v>
      </c>
      <c r="E14" s="8">
        <v>35542.639999999999</v>
      </c>
      <c r="F14" s="15">
        <v>42962</v>
      </c>
      <c r="G14" s="14">
        <f ca="1">RANDBETWEEN(0,Depositos[[#This Row],[IMPORTE]])</f>
        <v>9953</v>
      </c>
      <c r="H14" s="31" t="s">
        <v>23</v>
      </c>
      <c r="I14" s="32"/>
    </row>
    <row r="15" spans="2:11">
      <c r="B15" s="33">
        <v>3136</v>
      </c>
      <c r="C15" s="37">
        <v>42961</v>
      </c>
      <c r="D15" s="13" t="s">
        <v>10</v>
      </c>
      <c r="E15" s="8">
        <v>71085.289999999994</v>
      </c>
      <c r="F15" s="15">
        <v>42962</v>
      </c>
      <c r="G15" s="14">
        <f ca="1">RANDBETWEEN(0,Depositos[[#This Row],[IMPORTE]])</f>
        <v>27840</v>
      </c>
      <c r="H15" s="31" t="s">
        <v>24</v>
      </c>
      <c r="I15" s="32"/>
    </row>
    <row r="16" spans="2:11">
      <c r="B16" s="33">
        <v>3137</v>
      </c>
      <c r="C16" s="37">
        <v>42961</v>
      </c>
      <c r="D16" s="13" t="s">
        <v>10</v>
      </c>
      <c r="E16" s="8">
        <v>71085.289999999994</v>
      </c>
      <c r="F16" s="15">
        <v>42962</v>
      </c>
      <c r="G16" s="14">
        <f ca="1">RANDBETWEEN(0,Depositos[[#This Row],[IMPORTE]])</f>
        <v>29965</v>
      </c>
      <c r="H16" s="31" t="s">
        <v>25</v>
      </c>
      <c r="I16" s="32"/>
    </row>
    <row r="17" spans="2:9">
      <c r="B17" s="33">
        <v>3138</v>
      </c>
      <c r="C17" s="37">
        <v>42961</v>
      </c>
      <c r="D17" s="13" t="s">
        <v>10</v>
      </c>
      <c r="E17" s="8">
        <v>27743.72</v>
      </c>
      <c r="F17" s="15">
        <v>42962</v>
      </c>
      <c r="G17" s="14">
        <f ca="1">RANDBETWEEN(0,Depositos[[#This Row],[IMPORTE]])</f>
        <v>4744</v>
      </c>
      <c r="H17" s="31" t="s">
        <v>26</v>
      </c>
      <c r="I17" s="32"/>
    </row>
    <row r="18" spans="2:9">
      <c r="B18" s="33">
        <v>3139</v>
      </c>
      <c r="C18" s="37">
        <v>42963</v>
      </c>
      <c r="D18" s="13" t="s">
        <v>11</v>
      </c>
      <c r="E18" s="8">
        <v>2890</v>
      </c>
      <c r="F18" s="15">
        <v>42963</v>
      </c>
      <c r="G18" s="14">
        <f ca="1">RANDBETWEEN(0,Depositos[[#This Row],[IMPORTE]])</f>
        <v>1253</v>
      </c>
      <c r="H18" s="31" t="s">
        <v>27</v>
      </c>
      <c r="I18" s="32"/>
    </row>
    <row r="19" spans="2:9">
      <c r="B19" s="33">
        <v>3140</v>
      </c>
      <c r="C19" s="37">
        <v>42962</v>
      </c>
      <c r="D19" s="13" t="s">
        <v>10</v>
      </c>
      <c r="E19" s="8">
        <v>33064</v>
      </c>
      <c r="F19" s="15">
        <v>42963</v>
      </c>
      <c r="G19" s="14">
        <f ca="1">RANDBETWEEN(0,Depositos[[#This Row],[IMPORTE]])</f>
        <v>29541</v>
      </c>
      <c r="H19" s="31" t="s">
        <v>28</v>
      </c>
      <c r="I19" s="32"/>
    </row>
    <row r="20" spans="2:9">
      <c r="B20" s="33">
        <v>3141</v>
      </c>
      <c r="C20" s="37">
        <v>42962</v>
      </c>
      <c r="D20" s="13" t="s">
        <v>10</v>
      </c>
      <c r="E20" s="8">
        <v>132128.79999999999</v>
      </c>
      <c r="F20" s="15">
        <v>42963</v>
      </c>
      <c r="G20" s="14">
        <f ca="1">RANDBETWEEN(0,Depositos[[#This Row],[IMPORTE]])</f>
        <v>102288</v>
      </c>
      <c r="H20" s="31" t="s">
        <v>29</v>
      </c>
      <c r="I20" s="32"/>
    </row>
    <row r="21" spans="2:9">
      <c r="B21" s="33">
        <v>3142</v>
      </c>
      <c r="C21" s="37">
        <v>42965</v>
      </c>
      <c r="D21" s="13" t="s">
        <v>10</v>
      </c>
      <c r="E21" s="8">
        <v>351405</v>
      </c>
      <c r="F21" s="15">
        <v>42969</v>
      </c>
      <c r="G21" s="14">
        <f ca="1">RANDBETWEEN(0,Depositos[[#This Row],[IMPORTE]])</f>
        <v>211537</v>
      </c>
      <c r="H21" s="31" t="s">
        <v>30</v>
      </c>
      <c r="I21" s="32"/>
    </row>
    <row r="22" spans="2:9">
      <c r="B22" s="33">
        <v>3143</v>
      </c>
      <c r="C22" s="37">
        <v>42975</v>
      </c>
      <c r="D22" s="13" t="s">
        <v>10</v>
      </c>
      <c r="E22" s="8">
        <v>200000</v>
      </c>
      <c r="F22" s="15">
        <v>42976</v>
      </c>
      <c r="G22" s="14">
        <f ca="1">RANDBETWEEN(0,Depositos[[#This Row],[IMPORTE]])</f>
        <v>117097</v>
      </c>
      <c r="H22" s="31" t="s">
        <v>31</v>
      </c>
      <c r="I22" s="32"/>
    </row>
    <row r="23" spans="2:9">
      <c r="B23" s="33">
        <v>3144</v>
      </c>
      <c r="C23" s="37">
        <v>42977</v>
      </c>
      <c r="D23" s="13" t="s">
        <v>12</v>
      </c>
      <c r="E23" s="8">
        <v>49025.37</v>
      </c>
      <c r="F23" s="15">
        <v>42977</v>
      </c>
      <c r="G23" s="14">
        <f ca="1">RANDBETWEEN(0,Depositos[[#This Row],[IMPORTE]])</f>
        <v>41036</v>
      </c>
      <c r="H23" s="36" t="s">
        <v>15</v>
      </c>
      <c r="I23" s="32"/>
    </row>
    <row r="24" spans="2:9">
      <c r="B24" s="33">
        <v>3145</v>
      </c>
      <c r="C24" s="37">
        <v>42977</v>
      </c>
      <c r="D24" s="13" t="s">
        <v>12</v>
      </c>
      <c r="E24" s="8">
        <v>37405.760000000002</v>
      </c>
      <c r="F24" s="15">
        <v>42977</v>
      </c>
      <c r="G24" s="14">
        <f ca="1">RANDBETWEEN(0,Depositos[[#This Row],[IMPORTE]])</f>
        <v>14733</v>
      </c>
      <c r="H24" s="36" t="s">
        <v>15</v>
      </c>
      <c r="I24" s="32"/>
    </row>
    <row r="25" spans="2:9">
      <c r="B25" s="33">
        <v>3146</v>
      </c>
      <c r="C25" s="37">
        <v>42977</v>
      </c>
      <c r="D25" s="13" t="s">
        <v>12</v>
      </c>
      <c r="E25" s="8">
        <v>150000</v>
      </c>
      <c r="F25" s="15">
        <v>42977</v>
      </c>
      <c r="G25" s="14">
        <f ca="1">RANDBETWEEN(0,Depositos[[#This Row],[IMPORTE]])</f>
        <v>61232</v>
      </c>
      <c r="H25" s="36" t="s">
        <v>13</v>
      </c>
      <c r="I25" s="32"/>
    </row>
    <row r="26" spans="2:9">
      <c r="B26" s="33">
        <v>3147</v>
      </c>
      <c r="C26" s="37">
        <v>42976</v>
      </c>
      <c r="D26" s="13" t="s">
        <v>10</v>
      </c>
      <c r="E26" s="8">
        <v>351405</v>
      </c>
      <c r="F26" s="15">
        <v>42977</v>
      </c>
      <c r="G26" s="14">
        <f ca="1">RANDBETWEEN(0,Depositos[[#This Row],[IMPORTE]])</f>
        <v>91562</v>
      </c>
      <c r="H26" s="31" t="s">
        <v>32</v>
      </c>
      <c r="I26" s="32"/>
    </row>
    <row r="27" spans="2:9">
      <c r="B27" s="33">
        <v>3148</v>
      </c>
      <c r="C27" s="37">
        <v>42978</v>
      </c>
      <c r="D27" s="13" t="s">
        <v>10</v>
      </c>
      <c r="E27" s="8">
        <v>2626.13</v>
      </c>
      <c r="F27" s="15">
        <v>42979</v>
      </c>
      <c r="G27" s="14">
        <f ca="1">RANDBETWEEN(0,Depositos[[#This Row],[IMPORTE]])</f>
        <v>2067</v>
      </c>
      <c r="H27" s="31" t="s">
        <v>33</v>
      </c>
      <c r="I27" s="32"/>
    </row>
    <row r="28" spans="2:9">
      <c r="B28" s="33">
        <v>3149</v>
      </c>
      <c r="C28" s="37">
        <v>42978</v>
      </c>
      <c r="D28" s="13" t="s">
        <v>10</v>
      </c>
      <c r="E28" s="8">
        <v>5333.98</v>
      </c>
      <c r="F28" s="15">
        <v>42979</v>
      </c>
      <c r="G28" s="14">
        <f ca="1">RANDBETWEEN(0,Depositos[[#This Row],[IMPORTE]])</f>
        <v>4194</v>
      </c>
      <c r="H28" s="31" t="s">
        <v>34</v>
      </c>
      <c r="I28" s="32"/>
    </row>
    <row r="29" spans="2:9">
      <c r="B29" s="33">
        <v>3150</v>
      </c>
      <c r="C29" s="37">
        <v>42978</v>
      </c>
      <c r="D29" s="13" t="s">
        <v>10</v>
      </c>
      <c r="E29" s="8">
        <v>5847.19</v>
      </c>
      <c r="F29" s="15">
        <v>42979</v>
      </c>
      <c r="G29" s="14">
        <f ca="1">RANDBETWEEN(0,Depositos[[#This Row],[IMPORTE]])</f>
        <v>4955</v>
      </c>
      <c r="H29" s="31" t="s">
        <v>35</v>
      </c>
      <c r="I29" s="32"/>
    </row>
    <row r="30" spans="2:9">
      <c r="B30" s="33">
        <v>3151</v>
      </c>
      <c r="C30" s="37">
        <v>42978</v>
      </c>
      <c r="D30" s="13" t="s">
        <v>10</v>
      </c>
      <c r="E30" s="8">
        <v>7674.05</v>
      </c>
      <c r="F30" s="15">
        <v>42979</v>
      </c>
      <c r="G30" s="14">
        <f ca="1">RANDBETWEEN(0,Depositos[[#This Row],[IMPORTE]])</f>
        <v>7547</v>
      </c>
      <c r="H30" s="31" t="s">
        <v>36</v>
      </c>
      <c r="I30" s="32"/>
    </row>
    <row r="31" spans="2:9">
      <c r="B31" s="33">
        <v>3152</v>
      </c>
      <c r="C31" s="37">
        <v>42978</v>
      </c>
      <c r="D31" s="13" t="s">
        <v>10</v>
      </c>
      <c r="E31" s="8">
        <v>7118.72</v>
      </c>
      <c r="F31" s="15">
        <v>42979</v>
      </c>
      <c r="G31" s="14">
        <f ca="1">RANDBETWEEN(0,Depositos[[#This Row],[IMPORTE]])</f>
        <v>4521</v>
      </c>
      <c r="H31" s="31" t="s">
        <v>37</v>
      </c>
      <c r="I31" s="32"/>
    </row>
    <row r="32" spans="2:9">
      <c r="B32" s="33">
        <v>3153</v>
      </c>
      <c r="C32" s="37">
        <v>42978</v>
      </c>
      <c r="D32" s="13" t="s">
        <v>10</v>
      </c>
      <c r="E32" s="8">
        <v>3525.38</v>
      </c>
      <c r="F32" s="15">
        <v>42979</v>
      </c>
      <c r="G32" s="14">
        <f ca="1">RANDBETWEEN(0,Depositos[[#This Row],[IMPORTE]])</f>
        <v>1012</v>
      </c>
      <c r="H32" s="31" t="s">
        <v>38</v>
      </c>
      <c r="I32" s="32"/>
    </row>
    <row r="33" spans="2:9">
      <c r="B33" s="33">
        <v>3154</v>
      </c>
      <c r="C33" s="37">
        <v>42978</v>
      </c>
      <c r="D33" s="13" t="s">
        <v>10</v>
      </c>
      <c r="E33" s="8">
        <v>2398.08</v>
      </c>
      <c r="F33" s="15">
        <v>42979</v>
      </c>
      <c r="G33" s="14">
        <f ca="1">RANDBETWEEN(0,Depositos[[#This Row],[IMPORTE]])</f>
        <v>1855</v>
      </c>
      <c r="H33" s="31" t="s">
        <v>39</v>
      </c>
      <c r="I33" s="32"/>
    </row>
    <row r="34" spans="2:9">
      <c r="B34" s="33">
        <v>3155</v>
      </c>
      <c r="C34" s="37">
        <v>42982</v>
      </c>
      <c r="D34" s="13" t="s">
        <v>12</v>
      </c>
      <c r="E34" s="8">
        <v>181000</v>
      </c>
      <c r="F34" s="15">
        <v>42982</v>
      </c>
      <c r="G34" s="14">
        <f ca="1">RANDBETWEEN(0,Depositos[[#This Row],[IMPORTE]])</f>
        <v>129264</v>
      </c>
      <c r="H34" s="31" t="s">
        <v>15</v>
      </c>
      <c r="I34" s="32"/>
    </row>
    <row r="35" spans="2:9">
      <c r="B35" s="33">
        <v>3156</v>
      </c>
      <c r="C35" s="37">
        <v>42982</v>
      </c>
      <c r="D35" s="13" t="s">
        <v>12</v>
      </c>
      <c r="E35" s="8">
        <v>5000</v>
      </c>
      <c r="F35" s="15">
        <v>42982</v>
      </c>
      <c r="G35" s="14">
        <f ca="1">RANDBETWEEN(0,Depositos[[#This Row],[IMPORTE]])</f>
        <v>1268</v>
      </c>
      <c r="H35" s="31" t="s">
        <v>15</v>
      </c>
      <c r="I35" s="32"/>
    </row>
    <row r="36" spans="2:9">
      <c r="B36" s="33">
        <v>3157</v>
      </c>
      <c r="C36" s="37">
        <v>42982</v>
      </c>
      <c r="D36" s="13" t="s">
        <v>12</v>
      </c>
      <c r="E36" s="8">
        <v>80000</v>
      </c>
      <c r="F36" s="15">
        <v>42982</v>
      </c>
      <c r="G36" s="14">
        <f ca="1">RANDBETWEEN(0,Depositos[[#This Row],[IMPORTE]])</f>
        <v>1830</v>
      </c>
      <c r="H36" s="31" t="s">
        <v>40</v>
      </c>
      <c r="I36" s="32"/>
    </row>
    <row r="37" spans="2:9">
      <c r="B37" s="33">
        <v>3158</v>
      </c>
      <c r="C37" s="37">
        <v>42982</v>
      </c>
      <c r="D37" s="13" t="s">
        <v>12</v>
      </c>
      <c r="E37" s="8">
        <v>150000</v>
      </c>
      <c r="F37" s="15">
        <v>42982</v>
      </c>
      <c r="G37" s="14">
        <f ca="1">RANDBETWEEN(0,Depositos[[#This Row],[IMPORTE]])</f>
        <v>18317</v>
      </c>
      <c r="H37" s="31" t="s">
        <v>13</v>
      </c>
      <c r="I37" s="32"/>
    </row>
    <row r="38" spans="2:9">
      <c r="B38" s="33">
        <v>3159</v>
      </c>
      <c r="C38" s="37">
        <v>42979</v>
      </c>
      <c r="D38" s="13" t="s">
        <v>10</v>
      </c>
      <c r="E38" s="8">
        <v>4020.1</v>
      </c>
      <c r="F38" s="15">
        <v>42982</v>
      </c>
      <c r="G38" s="14">
        <f ca="1">RANDBETWEEN(0,Depositos[[#This Row],[IMPORTE]])</f>
        <v>1036</v>
      </c>
      <c r="H38" s="31" t="s">
        <v>41</v>
      </c>
      <c r="I38" s="32"/>
    </row>
    <row r="39" spans="2:9">
      <c r="B39" s="33">
        <v>3160</v>
      </c>
      <c r="C39" s="30">
        <v>42982</v>
      </c>
      <c r="D39" s="16" t="s">
        <v>10</v>
      </c>
      <c r="E39" s="11">
        <v>5000</v>
      </c>
      <c r="F39" s="17">
        <v>42983</v>
      </c>
      <c r="G39" s="14">
        <f ca="1">RANDBETWEEN(0,Depositos[[#This Row],[IMPORTE]])</f>
        <v>4327</v>
      </c>
      <c r="H39" s="31" t="s">
        <v>42</v>
      </c>
      <c r="I39" s="32"/>
    </row>
    <row r="40" spans="2:9">
      <c r="B40" s="33">
        <v>3161</v>
      </c>
      <c r="C40" s="30">
        <v>42983</v>
      </c>
      <c r="D40" s="16" t="s">
        <v>12</v>
      </c>
      <c r="E40" s="11">
        <v>100000</v>
      </c>
      <c r="F40" s="17">
        <v>42983</v>
      </c>
      <c r="G40" s="14">
        <f ca="1">RANDBETWEEN(0,Depositos[[#This Row],[IMPORTE]])</f>
        <v>7805</v>
      </c>
      <c r="H40" s="31" t="s">
        <v>15</v>
      </c>
      <c r="I40" s="32"/>
    </row>
    <row r="41" spans="2:9">
      <c r="B41" s="33">
        <v>3162</v>
      </c>
      <c r="C41" s="30">
        <v>42983</v>
      </c>
      <c r="D41" s="16" t="s">
        <v>10</v>
      </c>
      <c r="E41" s="11">
        <v>2538.48</v>
      </c>
      <c r="F41" s="17">
        <v>42984</v>
      </c>
      <c r="G41" s="14">
        <f ca="1">RANDBETWEEN(0,Depositos[[#This Row],[IMPORTE]])</f>
        <v>1014</v>
      </c>
      <c r="H41" s="31" t="s">
        <v>43</v>
      </c>
      <c r="I41" s="32"/>
    </row>
    <row r="42" spans="2:9">
      <c r="B42" s="33">
        <v>3163</v>
      </c>
      <c r="C42" s="30">
        <v>42983</v>
      </c>
      <c r="D42" s="16" t="s">
        <v>10</v>
      </c>
      <c r="E42" s="11">
        <v>3389</v>
      </c>
      <c r="F42" s="17">
        <v>42984</v>
      </c>
      <c r="G42" s="14">
        <f ca="1">RANDBETWEEN(0,Depositos[[#This Row],[IMPORTE]])</f>
        <v>1279</v>
      </c>
      <c r="H42" s="31" t="s">
        <v>44</v>
      </c>
      <c r="I42" s="32"/>
    </row>
    <row r="43" spans="2:9">
      <c r="B43" s="33">
        <v>3164</v>
      </c>
      <c r="C43" s="30">
        <v>42984</v>
      </c>
      <c r="D43" s="16" t="s">
        <v>12</v>
      </c>
      <c r="E43" s="11">
        <v>108000</v>
      </c>
      <c r="F43" s="17">
        <v>42984</v>
      </c>
      <c r="G43" s="14">
        <f ca="1">RANDBETWEEN(0,Depositos[[#This Row],[IMPORTE]])</f>
        <v>101173</v>
      </c>
      <c r="H43" s="31" t="s">
        <v>15</v>
      </c>
      <c r="I43" s="32"/>
    </row>
    <row r="44" spans="2:9">
      <c r="B44" s="33">
        <v>3165</v>
      </c>
      <c r="C44" s="30">
        <v>42985</v>
      </c>
      <c r="D44" s="16" t="s">
        <v>12</v>
      </c>
      <c r="E44" s="11">
        <v>100000</v>
      </c>
      <c r="F44" s="17">
        <v>42985</v>
      </c>
      <c r="G44" s="14">
        <f ca="1">RANDBETWEEN(0,Depositos[[#This Row],[IMPORTE]])</f>
        <v>68441</v>
      </c>
      <c r="H44" s="31"/>
      <c r="I44" s="32"/>
    </row>
    <row r="45" spans="2:9">
      <c r="B45" s="33">
        <v>3166</v>
      </c>
      <c r="C45" s="30">
        <v>42984</v>
      </c>
      <c r="D45" s="16" t="s">
        <v>10</v>
      </c>
      <c r="E45" s="11">
        <v>42000</v>
      </c>
      <c r="F45" s="17">
        <v>42985</v>
      </c>
      <c r="G45" s="14">
        <f ca="1">RANDBETWEEN(0,Depositos[[#This Row],[IMPORTE]])</f>
        <v>30393</v>
      </c>
      <c r="H45" s="31" t="s">
        <v>45</v>
      </c>
      <c r="I45" s="32"/>
    </row>
    <row r="46" spans="2:9">
      <c r="B46" s="33">
        <v>3167</v>
      </c>
      <c r="C46" s="30">
        <v>42984</v>
      </c>
      <c r="D46" s="16" t="s">
        <v>10</v>
      </c>
      <c r="E46" s="11">
        <v>13000</v>
      </c>
      <c r="F46" s="17">
        <v>42985</v>
      </c>
      <c r="G46" s="14">
        <f ca="1">RANDBETWEEN(0,Depositos[[#This Row],[IMPORTE]])</f>
        <v>4214</v>
      </c>
      <c r="H46" s="31" t="s">
        <v>46</v>
      </c>
      <c r="I46" s="32"/>
    </row>
    <row r="47" spans="2:9">
      <c r="B47" s="33">
        <v>3168</v>
      </c>
      <c r="C47" s="30">
        <v>42985</v>
      </c>
      <c r="D47" s="16" t="s">
        <v>10</v>
      </c>
      <c r="E47" s="11">
        <v>20000</v>
      </c>
      <c r="F47" s="17">
        <v>42986</v>
      </c>
      <c r="G47" s="14">
        <f ca="1">RANDBETWEEN(0,Depositos[[#This Row],[IMPORTE]])</f>
        <v>15265</v>
      </c>
      <c r="H47" s="31" t="s">
        <v>47</v>
      </c>
      <c r="I47" s="32"/>
    </row>
    <row r="48" spans="2:9">
      <c r="B48" s="33">
        <v>3169</v>
      </c>
      <c r="C48" s="30">
        <v>42986</v>
      </c>
      <c r="D48" s="16" t="s">
        <v>12</v>
      </c>
      <c r="E48" s="11">
        <v>100000</v>
      </c>
      <c r="F48" s="17">
        <v>42986</v>
      </c>
      <c r="G48" s="14">
        <f ca="1">RANDBETWEEN(0,Depositos[[#This Row],[IMPORTE]])</f>
        <v>68136</v>
      </c>
      <c r="H48" s="31" t="s">
        <v>15</v>
      </c>
      <c r="I48" s="32"/>
    </row>
    <row r="49" spans="2:9">
      <c r="B49" s="33">
        <v>3170</v>
      </c>
      <c r="C49" s="30">
        <v>42986</v>
      </c>
      <c r="D49" s="16" t="s">
        <v>12</v>
      </c>
      <c r="E49" s="11">
        <v>50000</v>
      </c>
      <c r="F49" s="17">
        <v>42986</v>
      </c>
      <c r="G49" s="14">
        <f ca="1">RANDBETWEEN(0,Depositos[[#This Row],[IMPORTE]])</f>
        <v>42636</v>
      </c>
      <c r="H49" s="31" t="s">
        <v>15</v>
      </c>
      <c r="I49" s="32"/>
    </row>
    <row r="50" spans="2:9">
      <c r="B50" s="33">
        <v>3171</v>
      </c>
      <c r="C50" s="30">
        <v>42986</v>
      </c>
      <c r="D50" s="16" t="s">
        <v>12</v>
      </c>
      <c r="E50" s="11">
        <v>150000</v>
      </c>
      <c r="F50" s="17">
        <v>42986</v>
      </c>
      <c r="G50" s="14">
        <f ca="1">RANDBETWEEN(0,Depositos[[#This Row],[IMPORTE]])</f>
        <v>991</v>
      </c>
      <c r="H50" s="31"/>
      <c r="I50" s="32"/>
    </row>
    <row r="51" spans="2:9">
      <c r="B51" s="33">
        <v>3172</v>
      </c>
      <c r="C51" s="30">
        <v>42986</v>
      </c>
      <c r="D51" s="16" t="s">
        <v>10</v>
      </c>
      <c r="E51" s="11">
        <v>3886.34</v>
      </c>
      <c r="F51" s="17">
        <v>42989</v>
      </c>
      <c r="G51" s="14">
        <f ca="1">RANDBETWEEN(0,Depositos[[#This Row],[IMPORTE]])</f>
        <v>401</v>
      </c>
      <c r="H51" s="31" t="s">
        <v>48</v>
      </c>
      <c r="I51" s="32"/>
    </row>
    <row r="52" spans="2:9">
      <c r="B52" s="33">
        <v>3173</v>
      </c>
      <c r="C52" s="30">
        <v>42990</v>
      </c>
      <c r="D52" s="16" t="s">
        <v>12</v>
      </c>
      <c r="E52" s="11">
        <v>150000</v>
      </c>
      <c r="F52" s="17">
        <v>42990</v>
      </c>
      <c r="G52" s="14">
        <f ca="1">RANDBETWEEN(0,Depositos[[#This Row],[IMPORTE]])</f>
        <v>120885</v>
      </c>
      <c r="H52" s="31"/>
      <c r="I52" s="32"/>
    </row>
    <row r="53" spans="2:9">
      <c r="B53" s="33">
        <v>3174</v>
      </c>
      <c r="C53" s="30">
        <v>42990</v>
      </c>
      <c r="D53" s="16" t="s">
        <v>12</v>
      </c>
      <c r="E53" s="11">
        <v>200000</v>
      </c>
      <c r="F53" s="17">
        <v>42990</v>
      </c>
      <c r="G53" s="14">
        <f ca="1">RANDBETWEEN(0,Depositos[[#This Row],[IMPORTE]])</f>
        <v>117439</v>
      </c>
      <c r="H53" s="31" t="s">
        <v>15</v>
      </c>
      <c r="I53" s="32"/>
    </row>
    <row r="54" spans="2:9">
      <c r="B54" s="33">
        <v>3175</v>
      </c>
      <c r="C54" s="30">
        <v>42989</v>
      </c>
      <c r="D54" s="16" t="s">
        <v>10</v>
      </c>
      <c r="E54" s="11">
        <v>30000</v>
      </c>
      <c r="F54" s="17">
        <v>42990</v>
      </c>
      <c r="G54" s="14">
        <f ca="1">RANDBETWEEN(0,Depositos[[#This Row],[IMPORTE]])</f>
        <v>26864</v>
      </c>
      <c r="H54" s="31" t="s">
        <v>49</v>
      </c>
      <c r="I54" s="32"/>
    </row>
    <row r="55" spans="2:9">
      <c r="B55" s="33">
        <v>3176</v>
      </c>
      <c r="C55" s="30">
        <v>42989</v>
      </c>
      <c r="D55" s="16" t="s">
        <v>10</v>
      </c>
      <c r="E55" s="11">
        <v>453000</v>
      </c>
      <c r="F55" s="17">
        <v>42990</v>
      </c>
      <c r="G55" s="14">
        <f ca="1">RANDBETWEEN(0,Depositos[[#This Row],[IMPORTE]])</f>
        <v>169279</v>
      </c>
      <c r="H55" s="31" t="s">
        <v>50</v>
      </c>
      <c r="I55" s="32"/>
    </row>
    <row r="56" spans="2:9">
      <c r="B56" s="33">
        <v>3177</v>
      </c>
      <c r="C56" s="30">
        <v>42989</v>
      </c>
      <c r="D56" s="16" t="s">
        <v>10</v>
      </c>
      <c r="E56" s="11">
        <v>35542.639999999999</v>
      </c>
      <c r="F56" s="17">
        <v>42990</v>
      </c>
      <c r="G56" s="14">
        <f ca="1">RANDBETWEEN(0,Depositos[[#This Row],[IMPORTE]])</f>
        <v>1414</v>
      </c>
      <c r="H56" s="31" t="s">
        <v>51</v>
      </c>
      <c r="I56" s="32"/>
    </row>
    <row r="57" spans="2:9">
      <c r="B57" s="33">
        <v>3178</v>
      </c>
      <c r="C57" s="30">
        <v>42989</v>
      </c>
      <c r="D57" s="16" t="s">
        <v>10</v>
      </c>
      <c r="E57" s="11">
        <v>21471.14</v>
      </c>
      <c r="F57" s="17">
        <v>42990</v>
      </c>
      <c r="G57" s="14">
        <f ca="1">RANDBETWEEN(0,Depositos[[#This Row],[IMPORTE]])</f>
        <v>4993</v>
      </c>
      <c r="H57" s="31" t="s">
        <v>52</v>
      </c>
      <c r="I57" s="32"/>
    </row>
    <row r="58" spans="2:9">
      <c r="B58" s="33">
        <v>3179</v>
      </c>
      <c r="C58" s="30">
        <v>42989</v>
      </c>
      <c r="D58" s="16" t="s">
        <v>10</v>
      </c>
      <c r="E58" s="11">
        <v>27743.71</v>
      </c>
      <c r="F58" s="17">
        <v>42990</v>
      </c>
      <c r="G58" s="14">
        <f ca="1">RANDBETWEEN(0,Depositos[[#This Row],[IMPORTE]])</f>
        <v>23823</v>
      </c>
      <c r="H58" s="31" t="s">
        <v>53</v>
      </c>
      <c r="I58" s="32"/>
    </row>
    <row r="59" spans="2:9">
      <c r="B59" s="33">
        <v>3180</v>
      </c>
      <c r="C59" s="30">
        <v>42989</v>
      </c>
      <c r="D59" s="16" t="s">
        <v>12</v>
      </c>
      <c r="E59" s="11">
        <v>140000</v>
      </c>
      <c r="F59" s="17">
        <v>42989</v>
      </c>
      <c r="G59" s="14">
        <f ca="1">RANDBETWEEN(0,Depositos[[#This Row],[IMPORTE]])</f>
        <v>42318</v>
      </c>
      <c r="H59" s="31" t="s">
        <v>15</v>
      </c>
      <c r="I59" s="32"/>
    </row>
    <row r="60" spans="2:9">
      <c r="B60" s="33">
        <v>3181</v>
      </c>
      <c r="C60" s="30">
        <v>42989</v>
      </c>
      <c r="D60" s="16" t="s">
        <v>12</v>
      </c>
      <c r="E60" s="11">
        <v>50000</v>
      </c>
      <c r="F60" s="17">
        <v>42989</v>
      </c>
      <c r="G60" s="14">
        <f ca="1">RANDBETWEEN(0,Depositos[[#This Row],[IMPORTE]])</f>
        <v>28047</v>
      </c>
      <c r="H60" s="31" t="s">
        <v>15</v>
      </c>
      <c r="I60" s="32"/>
    </row>
    <row r="61" spans="2:9">
      <c r="B61" s="33">
        <v>3182</v>
      </c>
      <c r="C61" s="30">
        <v>42989</v>
      </c>
      <c r="D61" s="16" t="s">
        <v>11</v>
      </c>
      <c r="E61" s="11">
        <v>39427.800000000003</v>
      </c>
      <c r="F61" s="17">
        <v>42989</v>
      </c>
      <c r="G61" s="14">
        <f ca="1">RANDBETWEEN(0,Depositos[[#This Row],[IMPORTE]])</f>
        <v>13949</v>
      </c>
      <c r="H61" s="31" t="s">
        <v>54</v>
      </c>
      <c r="I61" s="32"/>
    </row>
    <row r="62" spans="2:9">
      <c r="B62" s="33">
        <v>3183</v>
      </c>
      <c r="C62" s="30">
        <v>42992</v>
      </c>
      <c r="D62" s="16" t="s">
        <v>10</v>
      </c>
      <c r="E62" s="11">
        <v>176302.5</v>
      </c>
      <c r="F62" s="17">
        <v>42993</v>
      </c>
      <c r="G62" s="14">
        <f ca="1">RANDBETWEEN(0,Depositos[[#This Row],[IMPORTE]])</f>
        <v>1697</v>
      </c>
      <c r="H62" s="31" t="s">
        <v>55</v>
      </c>
      <c r="I62" s="32"/>
    </row>
    <row r="63" spans="2:9">
      <c r="B63" s="33">
        <v>3184</v>
      </c>
      <c r="C63" s="30">
        <v>42993</v>
      </c>
      <c r="D63" s="16" t="s">
        <v>10</v>
      </c>
      <c r="E63" s="11">
        <v>140678</v>
      </c>
      <c r="F63" s="17">
        <v>42996</v>
      </c>
      <c r="G63" s="14">
        <f ca="1">RANDBETWEEN(0,Depositos[[#This Row],[IMPORTE]])</f>
        <v>104990</v>
      </c>
      <c r="H63" s="31" t="s">
        <v>56</v>
      </c>
      <c r="I63" s="32"/>
    </row>
    <row r="64" spans="2:9">
      <c r="B64" s="33">
        <v>3185</v>
      </c>
      <c r="C64" s="30">
        <v>42997</v>
      </c>
      <c r="D64" s="16" t="s">
        <v>10</v>
      </c>
      <c r="E64" s="11">
        <v>175702.5</v>
      </c>
      <c r="F64" s="17">
        <v>42998</v>
      </c>
      <c r="G64" s="14">
        <f ca="1">RANDBETWEEN(0,Depositos[[#This Row],[IMPORTE]])</f>
        <v>157643</v>
      </c>
      <c r="H64" s="31" t="s">
        <v>57</v>
      </c>
      <c r="I64" s="32"/>
    </row>
    <row r="65" spans="2:9">
      <c r="B65" s="33">
        <v>3186</v>
      </c>
      <c r="C65" s="30">
        <v>42997</v>
      </c>
      <c r="D65" s="16" t="s">
        <v>10</v>
      </c>
      <c r="E65" s="11">
        <v>80000</v>
      </c>
      <c r="F65" s="17">
        <v>42998</v>
      </c>
      <c r="G65" s="14">
        <f ca="1">RANDBETWEEN(0,Depositos[[#This Row],[IMPORTE]])</f>
        <v>5813</v>
      </c>
      <c r="H65" s="31" t="s">
        <v>58</v>
      </c>
      <c r="I65" s="32"/>
    </row>
    <row r="66" spans="2:9">
      <c r="B66" s="33">
        <v>3187</v>
      </c>
      <c r="C66" s="30">
        <v>42997</v>
      </c>
      <c r="D66" s="16" t="s">
        <v>10</v>
      </c>
      <c r="E66" s="11">
        <v>80000</v>
      </c>
      <c r="F66" s="17">
        <v>42998</v>
      </c>
      <c r="G66" s="14">
        <f ca="1">RANDBETWEEN(0,Depositos[[#This Row],[IMPORTE]])</f>
        <v>39408</v>
      </c>
      <c r="H66" s="31" t="s">
        <v>59</v>
      </c>
      <c r="I66" s="32"/>
    </row>
    <row r="67" spans="2:9">
      <c r="B67" s="33">
        <v>3188</v>
      </c>
      <c r="C67" s="30">
        <v>42997</v>
      </c>
      <c r="D67" s="16" t="s">
        <v>10</v>
      </c>
      <c r="E67" s="11">
        <v>80000</v>
      </c>
      <c r="F67" s="17">
        <v>42999</v>
      </c>
      <c r="G67" s="14">
        <f ca="1">RANDBETWEEN(0,Depositos[[#This Row],[IMPORTE]])</f>
        <v>32124</v>
      </c>
      <c r="H67" s="31" t="s">
        <v>60</v>
      </c>
      <c r="I67" s="32"/>
    </row>
    <row r="68" spans="2:9">
      <c r="B68" s="33">
        <v>3189</v>
      </c>
      <c r="C68" s="30">
        <v>42997</v>
      </c>
      <c r="D68" s="16" t="s">
        <v>10</v>
      </c>
      <c r="E68" s="11">
        <v>80000</v>
      </c>
      <c r="F68" s="17">
        <v>42998</v>
      </c>
      <c r="G68" s="14">
        <f ca="1">RANDBETWEEN(0,Depositos[[#This Row],[IMPORTE]])</f>
        <v>46881</v>
      </c>
      <c r="H68" s="31" t="s">
        <v>61</v>
      </c>
      <c r="I68" s="32"/>
    </row>
    <row r="69" spans="2:9">
      <c r="B69" s="33">
        <v>3190</v>
      </c>
      <c r="C69" s="30">
        <v>42997</v>
      </c>
      <c r="D69" s="16" t="s">
        <v>10</v>
      </c>
      <c r="E69" s="11">
        <v>415138.6</v>
      </c>
      <c r="F69" s="17">
        <v>42998</v>
      </c>
      <c r="G69" s="14">
        <f ca="1">RANDBETWEEN(0,Depositos[[#This Row],[IMPORTE]])</f>
        <v>84120</v>
      </c>
      <c r="H69" s="31" t="s">
        <v>62</v>
      </c>
      <c r="I69" s="32"/>
    </row>
    <row r="70" spans="2:9">
      <c r="B70" s="33">
        <v>3191</v>
      </c>
      <c r="C70" s="30">
        <v>42998</v>
      </c>
      <c r="D70" s="16" t="s">
        <v>12</v>
      </c>
      <c r="E70" s="11">
        <v>150000</v>
      </c>
      <c r="F70" s="17">
        <v>42998</v>
      </c>
      <c r="G70" s="14">
        <f ca="1">RANDBETWEEN(0,Depositos[[#This Row],[IMPORTE]])</f>
        <v>134240</v>
      </c>
      <c r="H70" s="31"/>
      <c r="I70" s="32"/>
    </row>
    <row r="71" spans="2:9">
      <c r="B71" s="33">
        <v>3192</v>
      </c>
      <c r="C71" s="30">
        <v>42998</v>
      </c>
      <c r="D71" s="16" t="s">
        <v>10</v>
      </c>
      <c r="E71" s="11">
        <v>580.82000000000005</v>
      </c>
      <c r="F71" s="17">
        <v>42999</v>
      </c>
      <c r="G71" s="14">
        <f ca="1">RANDBETWEEN(0,Depositos[[#This Row],[IMPORTE]])</f>
        <v>236</v>
      </c>
      <c r="H71" s="31" t="s">
        <v>63</v>
      </c>
      <c r="I71" s="32"/>
    </row>
    <row r="72" spans="2:9">
      <c r="B72" s="33">
        <v>3193</v>
      </c>
      <c r="C72" s="30">
        <v>43000</v>
      </c>
      <c r="D72" s="16" t="s">
        <v>10</v>
      </c>
      <c r="E72" s="11">
        <v>15715.29</v>
      </c>
      <c r="F72" s="17">
        <v>43003</v>
      </c>
      <c r="G72" s="14">
        <f ca="1">RANDBETWEEN(0,Depositos[[#This Row],[IMPORTE]])</f>
        <v>4799</v>
      </c>
      <c r="H72" s="31" t="s">
        <v>64</v>
      </c>
      <c r="I72" s="32"/>
    </row>
    <row r="73" spans="2:9">
      <c r="B73" s="33">
        <v>3194</v>
      </c>
      <c r="C73" s="30">
        <v>42997</v>
      </c>
      <c r="D73" s="16" t="s">
        <v>10</v>
      </c>
      <c r="E73" s="11">
        <v>175702.5</v>
      </c>
      <c r="F73" s="17">
        <v>43003</v>
      </c>
      <c r="G73" s="14">
        <f ca="1">RANDBETWEEN(0,Depositos[[#This Row],[IMPORTE]])</f>
        <v>75486</v>
      </c>
      <c r="H73" s="31" t="s">
        <v>57</v>
      </c>
      <c r="I73" s="32"/>
    </row>
    <row r="74" spans="2:9">
      <c r="B74" s="33">
        <v>3195</v>
      </c>
      <c r="C74" s="30">
        <v>43003</v>
      </c>
      <c r="D74" s="16" t="s">
        <v>12</v>
      </c>
      <c r="E74" s="11">
        <v>50000</v>
      </c>
      <c r="F74" s="17">
        <v>43003</v>
      </c>
      <c r="G74" s="14">
        <f ca="1">RANDBETWEEN(0,Depositos[[#This Row],[IMPORTE]])</f>
        <v>47789</v>
      </c>
      <c r="H74" s="31" t="s">
        <v>15</v>
      </c>
      <c r="I74" s="32"/>
    </row>
    <row r="75" spans="2:9">
      <c r="B75" s="33">
        <v>3196</v>
      </c>
      <c r="C75" s="30">
        <v>43004</v>
      </c>
      <c r="D75" s="16" t="s">
        <v>10</v>
      </c>
      <c r="E75" s="11">
        <v>50000</v>
      </c>
      <c r="F75" s="17">
        <v>43005</v>
      </c>
      <c r="G75" s="14">
        <f ca="1">RANDBETWEEN(0,Depositos[[#This Row],[IMPORTE]])</f>
        <v>44688</v>
      </c>
      <c r="H75" s="31" t="s">
        <v>65</v>
      </c>
      <c r="I75" s="32"/>
    </row>
    <row r="76" spans="2:9">
      <c r="B76" s="33">
        <v>3197</v>
      </c>
      <c r="C76" s="30">
        <v>43005</v>
      </c>
      <c r="D76" s="16" t="s">
        <v>10</v>
      </c>
      <c r="E76" s="11">
        <v>26620</v>
      </c>
      <c r="F76" s="17">
        <v>43006</v>
      </c>
      <c r="G76" s="14">
        <f ca="1">RANDBETWEEN(0,Depositos[[#This Row],[IMPORTE]])</f>
        <v>10967</v>
      </c>
      <c r="H76" s="31" t="s">
        <v>66</v>
      </c>
      <c r="I76" s="32"/>
    </row>
    <row r="77" spans="2:9">
      <c r="B77" s="33">
        <v>3198</v>
      </c>
      <c r="C77" s="30">
        <v>43005</v>
      </c>
      <c r="D77" s="16" t="s">
        <v>10</v>
      </c>
      <c r="E77" s="11">
        <v>50000</v>
      </c>
      <c r="F77" s="17">
        <v>43006</v>
      </c>
      <c r="G77" s="14">
        <f ca="1">RANDBETWEEN(0,Depositos[[#This Row],[IMPORTE]])</f>
        <v>43003</v>
      </c>
      <c r="H77" s="31" t="s">
        <v>67</v>
      </c>
      <c r="I77" s="32"/>
    </row>
    <row r="78" spans="2:9">
      <c r="B78" s="33">
        <v>3199</v>
      </c>
      <c r="C78" s="30">
        <v>43011</v>
      </c>
      <c r="D78" s="16" t="s">
        <v>12</v>
      </c>
      <c r="E78" s="11">
        <v>100000</v>
      </c>
      <c r="F78" s="17">
        <v>43011</v>
      </c>
      <c r="G78" s="14">
        <f ca="1">RANDBETWEEN(0,Depositos[[#This Row],[IMPORTE]])</f>
        <v>39559</v>
      </c>
      <c r="H78" s="31" t="s">
        <v>13</v>
      </c>
      <c r="I78" s="32"/>
    </row>
    <row r="79" spans="2:9">
      <c r="B79" s="33">
        <v>3200</v>
      </c>
      <c r="C79" s="30">
        <v>43010</v>
      </c>
      <c r="D79" s="16" t="s">
        <v>10</v>
      </c>
      <c r="E79" s="11">
        <v>3500.16</v>
      </c>
      <c r="F79" s="17">
        <v>43011</v>
      </c>
      <c r="G79" s="14">
        <f ca="1">RANDBETWEEN(0,Depositos[[#This Row],[IMPORTE]])</f>
        <v>1420</v>
      </c>
      <c r="H79" s="31" t="s">
        <v>68</v>
      </c>
      <c r="I79" s="32"/>
    </row>
    <row r="80" spans="2:9">
      <c r="B80" s="33">
        <v>3201</v>
      </c>
      <c r="C80" s="30">
        <v>43010</v>
      </c>
      <c r="D80" s="16" t="s">
        <v>10</v>
      </c>
      <c r="E80" s="11">
        <v>43940.33</v>
      </c>
      <c r="F80" s="17">
        <v>43011</v>
      </c>
      <c r="G80" s="14">
        <f ca="1">RANDBETWEEN(0,Depositos[[#This Row],[IMPORTE]])</f>
        <v>9227</v>
      </c>
      <c r="H80" s="31" t="s">
        <v>69</v>
      </c>
      <c r="I80" s="32"/>
    </row>
    <row r="81" spans="2:9">
      <c r="B81" s="33">
        <v>3202</v>
      </c>
      <c r="C81" s="17">
        <v>42796</v>
      </c>
      <c r="D81" s="18" t="s">
        <v>10</v>
      </c>
      <c r="E81" s="11">
        <v>175702.5</v>
      </c>
      <c r="F81" s="17">
        <v>43014</v>
      </c>
      <c r="G81" s="14">
        <f ca="1">RANDBETWEEN(0,Depositos[[#This Row],[IMPORTE]])</f>
        <v>86469</v>
      </c>
      <c r="H81" s="31" t="s">
        <v>70</v>
      </c>
      <c r="I81" s="32"/>
    </row>
    <row r="82" spans="2:9">
      <c r="B82" s="33">
        <v>3203</v>
      </c>
      <c r="C82" s="30">
        <v>43011</v>
      </c>
      <c r="D82" s="16" t="s">
        <v>10</v>
      </c>
      <c r="E82" s="11">
        <v>229794.55</v>
      </c>
      <c r="F82" s="17">
        <v>43012</v>
      </c>
      <c r="G82" s="14">
        <f ca="1">RANDBETWEEN(0,Depositos[[#This Row],[IMPORTE]])</f>
        <v>104624</v>
      </c>
      <c r="H82" s="31" t="s">
        <v>71</v>
      </c>
      <c r="I82" s="32"/>
    </row>
    <row r="83" spans="2:9">
      <c r="B83" s="33">
        <v>3204</v>
      </c>
      <c r="C83" s="30">
        <v>43012</v>
      </c>
      <c r="D83" s="16" t="s">
        <v>10</v>
      </c>
      <c r="E83" s="11">
        <v>42918.48</v>
      </c>
      <c r="F83" s="17">
        <v>43013</v>
      </c>
      <c r="G83" s="14">
        <f ca="1">RANDBETWEEN(0,Depositos[[#This Row],[IMPORTE]])</f>
        <v>25670</v>
      </c>
      <c r="H83" s="31" t="s">
        <v>72</v>
      </c>
      <c r="I83" s="32"/>
    </row>
    <row r="84" spans="2:9">
      <c r="B84" s="33">
        <v>3205</v>
      </c>
      <c r="C84" s="30">
        <v>43012</v>
      </c>
      <c r="D84" s="16" t="s">
        <v>10</v>
      </c>
      <c r="E84" s="11">
        <v>48964.45</v>
      </c>
      <c r="F84" s="17">
        <v>43013</v>
      </c>
      <c r="G84" s="14">
        <f ca="1">RANDBETWEEN(0,Depositos[[#This Row],[IMPORTE]])</f>
        <v>6973</v>
      </c>
      <c r="H84" s="31" t="s">
        <v>73</v>
      </c>
      <c r="I84" s="32"/>
    </row>
    <row r="85" spans="2:9">
      <c r="B85" s="33">
        <v>3206</v>
      </c>
      <c r="C85" s="30">
        <v>43013</v>
      </c>
      <c r="D85" s="16" t="s">
        <v>10</v>
      </c>
      <c r="E85" s="11">
        <v>10000</v>
      </c>
      <c r="F85" s="17">
        <v>43014</v>
      </c>
      <c r="G85" s="14">
        <f ca="1">RANDBETWEEN(0,Depositos[[#This Row],[IMPORTE]])</f>
        <v>1050</v>
      </c>
      <c r="H85" s="31" t="s">
        <v>74</v>
      </c>
      <c r="I85" s="32"/>
    </row>
    <row r="86" spans="2:9">
      <c r="B86" s="33">
        <v>3207</v>
      </c>
      <c r="C86" s="30">
        <v>43013</v>
      </c>
      <c r="D86" s="16" t="s">
        <v>10</v>
      </c>
      <c r="E86" s="11">
        <v>4851.53</v>
      </c>
      <c r="F86" s="17">
        <v>43014</v>
      </c>
      <c r="G86" s="14">
        <f ca="1">RANDBETWEEN(0,Depositos[[#This Row],[IMPORTE]])</f>
        <v>154</v>
      </c>
      <c r="H86" s="31" t="s">
        <v>75</v>
      </c>
      <c r="I86" s="32"/>
    </row>
    <row r="87" spans="2:9">
      <c r="B87" s="33">
        <v>3208</v>
      </c>
      <c r="C87" s="30">
        <v>43013</v>
      </c>
      <c r="D87" s="16" t="s">
        <v>10</v>
      </c>
      <c r="E87" s="11">
        <v>285600</v>
      </c>
      <c r="F87" s="17">
        <v>43014</v>
      </c>
      <c r="G87" s="14">
        <f ca="1">RANDBETWEEN(0,Depositos[[#This Row],[IMPORTE]])</f>
        <v>91960</v>
      </c>
      <c r="H87" s="31" t="s">
        <v>76</v>
      </c>
      <c r="I87" s="32"/>
    </row>
    <row r="88" spans="2:9">
      <c r="B88" s="33">
        <v>3209</v>
      </c>
      <c r="C88" s="30">
        <v>43013</v>
      </c>
      <c r="D88" s="16" t="s">
        <v>77</v>
      </c>
      <c r="E88" s="11">
        <v>25180</v>
      </c>
      <c r="F88" s="17">
        <v>43013</v>
      </c>
      <c r="G88" s="14">
        <f ca="1">RANDBETWEEN(0,Depositos[[#This Row],[IMPORTE]])</f>
        <v>22265</v>
      </c>
      <c r="H88" s="31" t="s">
        <v>78</v>
      </c>
      <c r="I88" s="32"/>
    </row>
    <row r="89" spans="2:9">
      <c r="B89" s="33">
        <v>3210</v>
      </c>
      <c r="C89" s="30">
        <v>43014</v>
      </c>
      <c r="D89" s="16" t="s">
        <v>10</v>
      </c>
      <c r="E89" s="11">
        <v>237500</v>
      </c>
      <c r="F89" s="17">
        <v>43017</v>
      </c>
      <c r="G89" s="14">
        <f ca="1">RANDBETWEEN(0,Depositos[[#This Row],[IMPORTE]])</f>
        <v>51564</v>
      </c>
      <c r="H89" s="31" t="s">
        <v>79</v>
      </c>
      <c r="I89" s="32"/>
    </row>
    <row r="90" spans="2:9">
      <c r="B90" s="33">
        <v>3211</v>
      </c>
      <c r="C90" s="30">
        <v>43017</v>
      </c>
      <c r="D90" s="16" t="s">
        <v>10</v>
      </c>
      <c r="E90" s="11">
        <v>8353.3700000000008</v>
      </c>
      <c r="F90" s="17">
        <v>43018</v>
      </c>
      <c r="G90" s="14">
        <f ca="1">RANDBETWEEN(0,Depositos[[#This Row],[IMPORTE]])</f>
        <v>3660</v>
      </c>
      <c r="H90" s="31" t="s">
        <v>80</v>
      </c>
      <c r="I90" s="32"/>
    </row>
    <row r="91" spans="2:9">
      <c r="B91" s="33">
        <v>3212</v>
      </c>
      <c r="C91" s="30">
        <v>43017</v>
      </c>
      <c r="D91" s="16" t="s">
        <v>10</v>
      </c>
      <c r="E91" s="11">
        <v>8984.49</v>
      </c>
      <c r="F91" s="17">
        <v>43018</v>
      </c>
      <c r="G91" s="14">
        <f ca="1">RANDBETWEEN(0,Depositos[[#This Row],[IMPORTE]])</f>
        <v>8942</v>
      </c>
      <c r="H91" s="31" t="s">
        <v>81</v>
      </c>
      <c r="I91" s="32"/>
    </row>
    <row r="92" spans="2:9">
      <c r="B92" s="33">
        <v>3213</v>
      </c>
      <c r="C92" s="30">
        <v>43017</v>
      </c>
      <c r="D92" s="16" t="s">
        <v>10</v>
      </c>
      <c r="E92" s="11">
        <v>14105.85</v>
      </c>
      <c r="F92" s="17">
        <v>43018</v>
      </c>
      <c r="G92" s="14">
        <f ca="1">RANDBETWEEN(0,Depositos[[#This Row],[IMPORTE]])</f>
        <v>6753</v>
      </c>
      <c r="H92" s="31" t="s">
        <v>82</v>
      </c>
      <c r="I92" s="32"/>
    </row>
    <row r="93" spans="2:9">
      <c r="B93" s="33">
        <v>3214</v>
      </c>
      <c r="C93" s="30">
        <v>43019</v>
      </c>
      <c r="D93" s="16" t="s">
        <v>10</v>
      </c>
      <c r="E93" s="11">
        <v>423000</v>
      </c>
      <c r="F93" s="17">
        <v>43020</v>
      </c>
      <c r="G93" s="14">
        <f ca="1">RANDBETWEEN(0,Depositos[[#This Row],[IMPORTE]])</f>
        <v>14119</v>
      </c>
      <c r="H93" s="31" t="s">
        <v>149</v>
      </c>
      <c r="I93" s="32"/>
    </row>
    <row r="94" spans="2:9">
      <c r="B94" s="33">
        <v>3215</v>
      </c>
      <c r="C94" s="30">
        <v>43019</v>
      </c>
      <c r="D94" s="16" t="s">
        <v>10</v>
      </c>
      <c r="E94" s="11">
        <v>237500</v>
      </c>
      <c r="F94" s="17">
        <v>43020</v>
      </c>
      <c r="G94" s="14">
        <f ca="1">RANDBETWEEN(0,Depositos[[#This Row],[IMPORTE]])</f>
        <v>32162</v>
      </c>
      <c r="H94" s="31" t="s">
        <v>150</v>
      </c>
      <c r="I94" s="32"/>
    </row>
    <row r="95" spans="2:9">
      <c r="B95" s="33">
        <v>3216</v>
      </c>
      <c r="C95" s="30">
        <v>43019</v>
      </c>
      <c r="D95" s="16" t="s">
        <v>10</v>
      </c>
      <c r="E95" s="11">
        <v>57751.02</v>
      </c>
      <c r="F95" s="17">
        <v>43020</v>
      </c>
      <c r="G95" s="14">
        <f ca="1">RANDBETWEEN(0,Depositos[[#This Row],[IMPORTE]])</f>
        <v>33204</v>
      </c>
      <c r="H95" s="31" t="s">
        <v>151</v>
      </c>
      <c r="I95" s="32"/>
    </row>
    <row r="96" spans="2:9">
      <c r="B96" s="33">
        <v>3217</v>
      </c>
      <c r="C96" s="30">
        <v>43019</v>
      </c>
      <c r="D96" s="16" t="s">
        <v>10</v>
      </c>
      <c r="E96" s="11">
        <v>11921.8</v>
      </c>
      <c r="F96" s="17">
        <v>43020</v>
      </c>
      <c r="G96" s="14">
        <f ca="1">RANDBETWEEN(0,Depositos[[#This Row],[IMPORTE]])</f>
        <v>1491</v>
      </c>
      <c r="H96" s="31" t="s">
        <v>152</v>
      </c>
      <c r="I96" s="32"/>
    </row>
    <row r="97" spans="2:9">
      <c r="B97" s="33">
        <v>3218</v>
      </c>
      <c r="C97" s="30">
        <v>43019</v>
      </c>
      <c r="D97" s="16" t="s">
        <v>10</v>
      </c>
      <c r="E97" s="11">
        <v>71085.289999999994</v>
      </c>
      <c r="F97" s="17">
        <v>43020</v>
      </c>
      <c r="G97" s="14">
        <f ca="1">RANDBETWEEN(0,Depositos[[#This Row],[IMPORTE]])</f>
        <v>51904</v>
      </c>
      <c r="H97" s="31" t="s">
        <v>153</v>
      </c>
      <c r="I97" s="32"/>
    </row>
    <row r="98" spans="2:9">
      <c r="B98" s="33">
        <v>3219</v>
      </c>
      <c r="C98" s="30">
        <v>43020</v>
      </c>
      <c r="D98" s="16" t="s">
        <v>10</v>
      </c>
      <c r="E98" s="11">
        <v>80000</v>
      </c>
      <c r="F98" s="17">
        <v>43021</v>
      </c>
      <c r="G98" s="14">
        <f ca="1">RANDBETWEEN(0,Depositos[[#This Row],[IMPORTE]])</f>
        <v>26540</v>
      </c>
      <c r="H98" s="31" t="s">
        <v>325</v>
      </c>
      <c r="I98" s="32" t="s">
        <v>326</v>
      </c>
    </row>
    <row r="99" spans="2:9">
      <c r="B99" s="33">
        <v>3220</v>
      </c>
      <c r="C99" s="30">
        <v>43020</v>
      </c>
      <c r="D99" s="16" t="s">
        <v>10</v>
      </c>
      <c r="E99" s="11">
        <v>80000</v>
      </c>
      <c r="F99" s="17">
        <v>43021</v>
      </c>
      <c r="G99" s="14">
        <f ca="1">RANDBETWEEN(0,Depositos[[#This Row],[IMPORTE]])</f>
        <v>18823</v>
      </c>
      <c r="H99" s="31" t="s">
        <v>327</v>
      </c>
      <c r="I99" s="32" t="s">
        <v>326</v>
      </c>
    </row>
    <row r="100" spans="2:9">
      <c r="B100" s="33">
        <v>3221</v>
      </c>
      <c r="C100" s="30">
        <v>43020</v>
      </c>
      <c r="D100" s="16" t="s">
        <v>10</v>
      </c>
      <c r="E100" s="11">
        <v>1232.96</v>
      </c>
      <c r="F100" s="17">
        <v>43021</v>
      </c>
      <c r="G100" s="14">
        <f ca="1">RANDBETWEEN(0,Depositos[[#This Row],[IMPORTE]])</f>
        <v>667</v>
      </c>
      <c r="H100" s="31" t="s">
        <v>328</v>
      </c>
      <c r="I100" s="32" t="s">
        <v>326</v>
      </c>
    </row>
    <row r="101" spans="2:9">
      <c r="B101" s="33">
        <v>3222</v>
      </c>
      <c r="C101" s="30">
        <v>43020</v>
      </c>
      <c r="D101" s="16" t="s">
        <v>10</v>
      </c>
      <c r="E101" s="11">
        <v>2688.15</v>
      </c>
      <c r="F101" s="17">
        <v>43021</v>
      </c>
      <c r="G101" s="14">
        <f ca="1">RANDBETWEEN(0,Depositos[[#This Row],[IMPORTE]])</f>
        <v>1177</v>
      </c>
      <c r="H101" s="31" t="s">
        <v>329</v>
      </c>
      <c r="I101" s="32" t="s">
        <v>326</v>
      </c>
    </row>
    <row r="102" spans="2:9">
      <c r="B102" s="33">
        <v>3223</v>
      </c>
      <c r="C102" s="30">
        <v>43020</v>
      </c>
      <c r="D102" s="16" t="s">
        <v>10</v>
      </c>
      <c r="E102" s="11">
        <v>144437.60999999999</v>
      </c>
      <c r="F102" s="17">
        <v>43021</v>
      </c>
      <c r="G102" s="14">
        <f ca="1">RANDBETWEEN(0,Depositos[[#This Row],[IMPORTE]])</f>
        <v>89129</v>
      </c>
      <c r="H102" s="31" t="s">
        <v>330</v>
      </c>
      <c r="I102" s="32" t="s">
        <v>326</v>
      </c>
    </row>
    <row r="103" spans="2:9">
      <c r="B103" s="33">
        <v>3224</v>
      </c>
      <c r="C103" s="37">
        <v>43021</v>
      </c>
      <c r="D103" s="13" t="s">
        <v>10</v>
      </c>
      <c r="E103" s="4">
        <v>80000</v>
      </c>
      <c r="F103" s="37">
        <v>43025</v>
      </c>
      <c r="G103" s="14">
        <f ca="1">RANDBETWEEN(0,Depositos[[#This Row],[IMPORTE]])</f>
        <v>9965</v>
      </c>
      <c r="H103" s="31" t="s">
        <v>331</v>
      </c>
      <c r="I103" s="32" t="s">
        <v>326</v>
      </c>
    </row>
    <row r="104" spans="2:9">
      <c r="B104" s="33">
        <v>3225</v>
      </c>
      <c r="C104" s="37">
        <v>43021</v>
      </c>
      <c r="D104" s="13" t="s">
        <v>10</v>
      </c>
      <c r="E104" s="4">
        <v>80000</v>
      </c>
      <c r="F104" s="37">
        <v>43025</v>
      </c>
      <c r="G104" s="14">
        <f ca="1">RANDBETWEEN(0,Depositos[[#This Row],[IMPORTE]])</f>
        <v>1476</v>
      </c>
      <c r="H104" s="31" t="s">
        <v>332</v>
      </c>
      <c r="I104" s="32" t="s">
        <v>326</v>
      </c>
    </row>
    <row r="105" spans="2:9">
      <c r="B105" s="33">
        <v>3226</v>
      </c>
      <c r="C105" s="37">
        <v>43021</v>
      </c>
      <c r="D105" s="13" t="s">
        <v>10</v>
      </c>
      <c r="E105" s="4">
        <v>285000</v>
      </c>
      <c r="F105" s="37">
        <v>43025</v>
      </c>
      <c r="G105" s="14">
        <f ca="1">RANDBETWEEN(0,Depositos[[#This Row],[IMPORTE]])</f>
        <v>263626</v>
      </c>
      <c r="H105" s="31" t="s">
        <v>333</v>
      </c>
      <c r="I105" s="32" t="s">
        <v>326</v>
      </c>
    </row>
  </sheetData>
  <mergeCells count="1">
    <mergeCell ref="C2:J3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astos"/>
  <dimension ref="B1:K105"/>
  <sheetViews>
    <sheetView workbookViewId="0"/>
  </sheetViews>
  <sheetFormatPr baseColWidth="10" defaultColWidth="11" defaultRowHeight="15.75"/>
  <cols>
    <col min="1" max="1" width="3.625" style="35" customWidth="1"/>
    <col min="2" max="2" width="20.25" style="35" hidden="1" customWidth="1"/>
    <col min="3" max="3" width="11.875" style="35" bestFit="1" customWidth="1"/>
    <col min="4" max="4" width="9" style="35" bestFit="1" customWidth="1"/>
    <col min="5" max="5" width="14.875" style="35" bestFit="1" customWidth="1"/>
    <col min="6" max="6" width="13.125" style="35" bestFit="1" customWidth="1"/>
    <col min="7" max="7" width="14.875" style="35" bestFit="1" customWidth="1"/>
    <col min="8" max="8" width="30.875" style="35" bestFit="1" customWidth="1"/>
    <col min="9" max="9" width="35.875" style="35" bestFit="1" customWidth="1"/>
    <col min="10" max="10" width="10.875" style="35" bestFit="1" customWidth="1"/>
    <col min="11" max="11" width="0" style="35" hidden="1" customWidth="1"/>
    <col min="12" max="12" width="3.625" style="35" customWidth="1"/>
    <col min="13" max="16384" width="11" style="35"/>
  </cols>
  <sheetData>
    <row r="1" spans="2:11" ht="16.5" thickBot="1"/>
    <row r="2" spans="2:11">
      <c r="C2" s="43" t="s">
        <v>9</v>
      </c>
      <c r="D2" s="44"/>
      <c r="E2" s="44"/>
      <c r="F2" s="44"/>
      <c r="G2" s="44"/>
      <c r="H2" s="44"/>
      <c r="I2" s="44"/>
      <c r="J2" s="45"/>
    </row>
    <row r="3" spans="2:11" ht="16.5" thickBot="1">
      <c r="C3" s="46"/>
      <c r="D3" s="47"/>
      <c r="E3" s="47"/>
      <c r="F3" s="47"/>
      <c r="G3" s="47"/>
      <c r="H3" s="47"/>
      <c r="I3" s="47"/>
      <c r="J3" s="48"/>
    </row>
    <row r="5" spans="2:11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</row>
    <row r="6" spans="2:11">
      <c r="B6" s="33">
        <v>9773</v>
      </c>
      <c r="C6" s="10">
        <v>43019</v>
      </c>
      <c r="D6" s="22">
        <v>662</v>
      </c>
      <c r="E6" s="11">
        <v>-213.79</v>
      </c>
      <c r="F6" s="12">
        <v>43019</v>
      </c>
      <c r="G6" s="6">
        <f ca="1">RANDBETWEEN(0,-Gastos[[#This Row],[IMPORTE]])</f>
        <v>80</v>
      </c>
      <c r="H6" s="22" t="s">
        <v>83</v>
      </c>
      <c r="I6" s="22" t="s">
        <v>154</v>
      </c>
      <c r="J6" s="34"/>
    </row>
    <row r="7" spans="2:11">
      <c r="B7" s="33">
        <v>9774</v>
      </c>
      <c r="C7" s="10">
        <v>43019</v>
      </c>
      <c r="D7" s="22">
        <v>835</v>
      </c>
      <c r="E7" s="11">
        <v>-35.630000000000003</v>
      </c>
      <c r="F7" s="12">
        <v>43019</v>
      </c>
      <c r="G7" s="6">
        <f ca="1">RANDBETWEEN(0,-Gastos[[#This Row],[IMPORTE]])</f>
        <v>33</v>
      </c>
      <c r="H7" s="22" t="s">
        <v>155</v>
      </c>
      <c r="I7" s="22"/>
      <c r="J7" s="34"/>
    </row>
    <row r="8" spans="2:11">
      <c r="B8" s="33">
        <v>9775</v>
      </c>
      <c r="C8" s="10">
        <v>43019</v>
      </c>
      <c r="D8" s="22">
        <v>662</v>
      </c>
      <c r="E8" s="11">
        <v>-0.21</v>
      </c>
      <c r="F8" s="12">
        <v>43019</v>
      </c>
      <c r="G8" s="6">
        <f ca="1">RANDBETWEEN(0,-Gastos[[#This Row],[IMPORTE]])</f>
        <v>0</v>
      </c>
      <c r="H8" s="22" t="s">
        <v>83</v>
      </c>
      <c r="I8" s="22" t="s">
        <v>155</v>
      </c>
      <c r="J8" s="34"/>
    </row>
    <row r="9" spans="2:11">
      <c r="B9" s="33">
        <v>9776</v>
      </c>
      <c r="C9" s="10">
        <v>43019</v>
      </c>
      <c r="D9" s="22">
        <v>835</v>
      </c>
      <c r="E9" s="11">
        <v>-50658.26</v>
      </c>
      <c r="F9" s="12">
        <v>43019</v>
      </c>
      <c r="G9" s="6">
        <f ca="1">RANDBETWEEN(0,-Gastos[[#This Row],[IMPORTE]])</f>
        <v>6828</v>
      </c>
      <c r="H9" s="22" t="s">
        <v>156</v>
      </c>
      <c r="I9" s="22"/>
      <c r="J9" s="34"/>
    </row>
    <row r="10" spans="2:11">
      <c r="B10" s="33">
        <v>9777</v>
      </c>
      <c r="C10" s="10">
        <v>43019</v>
      </c>
      <c r="D10" s="22">
        <v>662</v>
      </c>
      <c r="E10" s="11">
        <v>-303.95</v>
      </c>
      <c r="F10" s="12">
        <v>43019</v>
      </c>
      <c r="G10" s="6">
        <f ca="1">RANDBETWEEN(0,-Gastos[[#This Row],[IMPORTE]])</f>
        <v>250</v>
      </c>
      <c r="H10" s="22" t="s">
        <v>83</v>
      </c>
      <c r="I10" s="22" t="s">
        <v>156</v>
      </c>
      <c r="J10" s="34"/>
    </row>
    <row r="11" spans="2:11">
      <c r="B11" s="33">
        <v>9778</v>
      </c>
      <c r="C11" s="10">
        <v>43019</v>
      </c>
      <c r="D11" s="22">
        <v>835</v>
      </c>
      <c r="E11" s="11">
        <v>-50.66</v>
      </c>
      <c r="F11" s="12">
        <v>43019</v>
      </c>
      <c r="G11" s="6">
        <f ca="1">RANDBETWEEN(0,-Gastos[[#This Row],[IMPORTE]])</f>
        <v>22</v>
      </c>
      <c r="H11" s="22" t="s">
        <v>157</v>
      </c>
      <c r="I11" s="22"/>
      <c r="J11" s="34"/>
    </row>
    <row r="12" spans="2:11">
      <c r="B12" s="33">
        <v>9779</v>
      </c>
      <c r="C12" s="10">
        <v>43019</v>
      </c>
      <c r="D12" s="22">
        <v>662</v>
      </c>
      <c r="E12" s="11">
        <v>-0.3</v>
      </c>
      <c r="F12" s="12">
        <v>43019</v>
      </c>
      <c r="G12" s="6">
        <f ca="1">RANDBETWEEN(0,-Gastos[[#This Row],[IMPORTE]])</f>
        <v>0</v>
      </c>
      <c r="H12" s="22" t="s">
        <v>83</v>
      </c>
      <c r="I12" s="22" t="s">
        <v>157</v>
      </c>
      <c r="J12" s="34"/>
    </row>
    <row r="13" spans="2:11">
      <c r="B13" s="33">
        <v>9780</v>
      </c>
      <c r="C13" s="10">
        <v>43019</v>
      </c>
      <c r="D13" s="22">
        <v>835</v>
      </c>
      <c r="E13" s="11">
        <v>-290.88</v>
      </c>
      <c r="F13" s="12">
        <v>43019</v>
      </c>
      <c r="G13" s="6">
        <f ca="1">RANDBETWEEN(0,-Gastos[[#This Row],[IMPORTE]])</f>
        <v>157</v>
      </c>
      <c r="H13" s="22" t="s">
        <v>158</v>
      </c>
      <c r="I13" s="22"/>
      <c r="J13" s="34"/>
    </row>
    <row r="14" spans="2:11">
      <c r="B14" s="33">
        <v>9781</v>
      </c>
      <c r="C14" s="10">
        <v>43019</v>
      </c>
      <c r="D14" s="22">
        <v>662</v>
      </c>
      <c r="E14" s="11">
        <v>-1.75</v>
      </c>
      <c r="F14" s="12">
        <v>43019</v>
      </c>
      <c r="G14" s="6">
        <f ca="1">RANDBETWEEN(0,-Gastos[[#This Row],[IMPORTE]])</f>
        <v>1</v>
      </c>
      <c r="H14" s="22" t="s">
        <v>83</v>
      </c>
      <c r="I14" s="22" t="s">
        <v>158</v>
      </c>
      <c r="J14" s="34"/>
    </row>
    <row r="15" spans="2:11">
      <c r="B15" s="33">
        <v>9782</v>
      </c>
      <c r="C15" s="10">
        <v>43019</v>
      </c>
      <c r="D15" s="20">
        <v>662</v>
      </c>
      <c r="E15" s="11">
        <v>-492.9</v>
      </c>
      <c r="F15" s="12">
        <v>43019</v>
      </c>
      <c r="G15" s="6">
        <f ca="1">RANDBETWEEN(0,-Gastos[[#This Row],[IMPORTE]])</f>
        <v>84</v>
      </c>
      <c r="H15" s="20" t="s">
        <v>83</v>
      </c>
      <c r="I15" s="20" t="s">
        <v>159</v>
      </c>
      <c r="J15" s="34"/>
    </row>
    <row r="16" spans="2:11">
      <c r="B16" s="33">
        <v>9783</v>
      </c>
      <c r="C16" s="10">
        <v>43019</v>
      </c>
      <c r="D16" s="20">
        <v>662</v>
      </c>
      <c r="E16" s="11">
        <v>-22.3</v>
      </c>
      <c r="F16" s="12">
        <v>43019</v>
      </c>
      <c r="G16" s="6">
        <f ca="1">RANDBETWEEN(0,-Gastos[[#This Row],[IMPORTE]])</f>
        <v>9</v>
      </c>
      <c r="H16" s="20" t="s">
        <v>83</v>
      </c>
      <c r="I16" s="20" t="s">
        <v>160</v>
      </c>
      <c r="J16" s="34"/>
    </row>
    <row r="17" spans="2:10">
      <c r="B17" s="33">
        <v>9784</v>
      </c>
      <c r="C17" s="10">
        <v>43019</v>
      </c>
      <c r="D17" s="20">
        <v>662</v>
      </c>
      <c r="E17" s="11">
        <v>-84</v>
      </c>
      <c r="F17" s="12">
        <v>43019</v>
      </c>
      <c r="G17" s="6">
        <f ca="1">RANDBETWEEN(0,-Gastos[[#This Row],[IMPORTE]])</f>
        <v>7</v>
      </c>
      <c r="H17" s="20" t="s">
        <v>83</v>
      </c>
      <c r="I17" s="20" t="s">
        <v>92</v>
      </c>
      <c r="J17" s="34"/>
    </row>
    <row r="18" spans="2:10">
      <c r="B18" s="33">
        <v>9785</v>
      </c>
      <c r="C18" s="10">
        <v>43020</v>
      </c>
      <c r="D18" s="20">
        <v>662</v>
      </c>
      <c r="E18" s="11">
        <v>-53.52</v>
      </c>
      <c r="F18" s="12">
        <v>43020</v>
      </c>
      <c r="G18" s="6">
        <f ca="1">RANDBETWEEN(0,-Gastos[[#This Row],[IMPORTE]])</f>
        <v>33</v>
      </c>
      <c r="H18" s="20" t="s">
        <v>83</v>
      </c>
      <c r="I18" s="20" t="s">
        <v>334</v>
      </c>
      <c r="J18" s="34"/>
    </row>
    <row r="19" spans="2:10">
      <c r="B19" s="33">
        <v>9786</v>
      </c>
      <c r="C19" s="10">
        <v>43020</v>
      </c>
      <c r="D19" s="20">
        <v>662</v>
      </c>
      <c r="E19" s="11">
        <v>-59.02</v>
      </c>
      <c r="F19" s="12">
        <v>43020</v>
      </c>
      <c r="G19" s="6">
        <f ca="1">RANDBETWEEN(0,-Gastos[[#This Row],[IMPORTE]])</f>
        <v>59</v>
      </c>
      <c r="H19" s="20" t="s">
        <v>83</v>
      </c>
      <c r="I19" s="20" t="s">
        <v>335</v>
      </c>
      <c r="J19" s="34"/>
    </row>
    <row r="20" spans="2:10">
      <c r="B20" s="33">
        <v>9787</v>
      </c>
      <c r="C20" s="10">
        <v>43020</v>
      </c>
      <c r="D20" s="20">
        <v>662</v>
      </c>
      <c r="E20" s="11">
        <v>-13.63</v>
      </c>
      <c r="F20" s="12">
        <v>43020</v>
      </c>
      <c r="G20" s="6">
        <f ca="1">RANDBETWEEN(0,-Gastos[[#This Row],[IMPORTE]])</f>
        <v>0</v>
      </c>
      <c r="H20" s="20" t="s">
        <v>83</v>
      </c>
      <c r="I20" s="20" t="s">
        <v>336</v>
      </c>
      <c r="J20" s="34"/>
    </row>
    <row r="21" spans="2:10">
      <c r="B21" s="33">
        <v>9788</v>
      </c>
      <c r="C21" s="10">
        <v>43020</v>
      </c>
      <c r="D21" s="20">
        <v>662</v>
      </c>
      <c r="E21" s="11">
        <v>-13.61</v>
      </c>
      <c r="F21" s="12">
        <v>43020</v>
      </c>
      <c r="G21" s="6">
        <f ca="1">RANDBETWEEN(0,-Gastos[[#This Row],[IMPORTE]])</f>
        <v>8</v>
      </c>
      <c r="H21" s="20" t="s">
        <v>83</v>
      </c>
      <c r="I21" s="20" t="s">
        <v>337</v>
      </c>
      <c r="J21" s="34"/>
    </row>
    <row r="22" spans="2:10">
      <c r="B22" s="33">
        <v>9789</v>
      </c>
      <c r="C22" s="10">
        <v>43020</v>
      </c>
      <c r="D22" s="20">
        <v>662</v>
      </c>
      <c r="E22" s="11">
        <v>-300</v>
      </c>
      <c r="F22" s="12">
        <v>43020</v>
      </c>
      <c r="G22" s="6">
        <f ca="1">RANDBETWEEN(0,-Gastos[[#This Row],[IMPORTE]])</f>
        <v>2</v>
      </c>
      <c r="H22" s="20" t="s">
        <v>83</v>
      </c>
      <c r="I22" s="20" t="s">
        <v>92</v>
      </c>
      <c r="J22" s="34"/>
    </row>
    <row r="23" spans="2:10">
      <c r="B23" s="33">
        <v>9790</v>
      </c>
      <c r="C23" s="10">
        <v>43020</v>
      </c>
      <c r="D23" s="20">
        <v>662</v>
      </c>
      <c r="E23" s="11">
        <v>-300</v>
      </c>
      <c r="F23" s="12">
        <v>43020</v>
      </c>
      <c r="G23" s="6">
        <f ca="1">RANDBETWEEN(0,-Gastos[[#This Row],[IMPORTE]])</f>
        <v>24</v>
      </c>
      <c r="H23" s="20" t="s">
        <v>83</v>
      </c>
      <c r="I23" s="20" t="s">
        <v>92</v>
      </c>
      <c r="J23" s="34"/>
    </row>
    <row r="24" spans="2:10">
      <c r="B24" s="33">
        <v>9791</v>
      </c>
      <c r="C24" s="10">
        <v>43020</v>
      </c>
      <c r="D24" s="20">
        <v>662</v>
      </c>
      <c r="E24" s="11">
        <v>-300</v>
      </c>
      <c r="F24" s="12">
        <v>43020</v>
      </c>
      <c r="G24" s="6">
        <f ca="1">RANDBETWEEN(0,-Gastos[[#This Row],[IMPORTE]])</f>
        <v>71</v>
      </c>
      <c r="H24" s="20" t="s">
        <v>83</v>
      </c>
      <c r="I24" s="20" t="s">
        <v>92</v>
      </c>
      <c r="J24" s="34"/>
    </row>
    <row r="25" spans="2:10">
      <c r="B25" s="33">
        <v>9792</v>
      </c>
      <c r="C25" s="10">
        <v>43020</v>
      </c>
      <c r="D25" s="20">
        <v>662</v>
      </c>
      <c r="E25" s="11">
        <v>-300</v>
      </c>
      <c r="F25" s="12">
        <v>43020</v>
      </c>
      <c r="G25" s="6">
        <f ca="1">RANDBETWEEN(0,-Gastos[[#This Row],[IMPORTE]])</f>
        <v>281</v>
      </c>
      <c r="H25" s="20" t="s">
        <v>83</v>
      </c>
      <c r="I25" s="20" t="s">
        <v>92</v>
      </c>
      <c r="J25" s="34"/>
    </row>
    <row r="26" spans="2:10">
      <c r="B26" s="33">
        <v>9793</v>
      </c>
      <c r="C26" s="10">
        <v>43020</v>
      </c>
      <c r="D26" s="20">
        <v>662</v>
      </c>
      <c r="E26" s="11">
        <v>-108</v>
      </c>
      <c r="F26" s="12">
        <v>43020</v>
      </c>
      <c r="G26" s="6">
        <f ca="1">RANDBETWEEN(0,-Gastos[[#This Row],[IMPORTE]])</f>
        <v>20</v>
      </c>
      <c r="H26" s="20" t="s">
        <v>83</v>
      </c>
      <c r="I26" s="20" t="s">
        <v>92</v>
      </c>
      <c r="J26" s="34"/>
    </row>
    <row r="27" spans="2:10">
      <c r="B27" s="33">
        <v>9794</v>
      </c>
      <c r="C27" s="10">
        <v>43020</v>
      </c>
      <c r="D27" s="20">
        <v>612</v>
      </c>
      <c r="E27" s="11">
        <v>-2538</v>
      </c>
      <c r="F27" s="12">
        <v>43020</v>
      </c>
      <c r="G27" s="6">
        <f ca="1">RANDBETWEEN(0,-Gastos[[#This Row],[IMPORTE]])</f>
        <v>1588</v>
      </c>
      <c r="H27" s="20" t="s">
        <v>84</v>
      </c>
      <c r="I27" s="20" t="s">
        <v>338</v>
      </c>
      <c r="J27" s="34"/>
    </row>
    <row r="28" spans="2:10">
      <c r="B28" s="33">
        <v>9795</v>
      </c>
      <c r="C28" s="10">
        <v>43020</v>
      </c>
      <c r="D28" s="20">
        <v>612</v>
      </c>
      <c r="E28" s="11">
        <v>-1425</v>
      </c>
      <c r="F28" s="12">
        <v>43020</v>
      </c>
      <c r="G28" s="6">
        <f ca="1">RANDBETWEEN(0,-Gastos[[#This Row],[IMPORTE]])</f>
        <v>22</v>
      </c>
      <c r="H28" s="20" t="s">
        <v>84</v>
      </c>
      <c r="I28" s="20" t="s">
        <v>339</v>
      </c>
      <c r="J28" s="34"/>
    </row>
    <row r="29" spans="2:10">
      <c r="B29" s="33">
        <v>9796</v>
      </c>
      <c r="C29" s="10">
        <v>43020</v>
      </c>
      <c r="D29" s="20">
        <v>612</v>
      </c>
      <c r="E29" s="11">
        <v>-346.51</v>
      </c>
      <c r="F29" s="12">
        <v>43020</v>
      </c>
      <c r="G29" s="6">
        <f ca="1">RANDBETWEEN(0,-Gastos[[#This Row],[IMPORTE]])</f>
        <v>312</v>
      </c>
      <c r="H29" s="20" t="s">
        <v>84</v>
      </c>
      <c r="I29" s="20" t="s">
        <v>340</v>
      </c>
      <c r="J29" s="34"/>
    </row>
    <row r="30" spans="2:10">
      <c r="B30" s="33">
        <v>9797</v>
      </c>
      <c r="C30" s="10">
        <v>43020</v>
      </c>
      <c r="D30" s="20">
        <v>612</v>
      </c>
      <c r="E30" s="11">
        <v>-71.53</v>
      </c>
      <c r="F30" s="12">
        <v>43020</v>
      </c>
      <c r="G30" s="6">
        <f ca="1">RANDBETWEEN(0,-Gastos[[#This Row],[IMPORTE]])</f>
        <v>0</v>
      </c>
      <c r="H30" s="20" t="s">
        <v>84</v>
      </c>
      <c r="I30" s="20" t="s">
        <v>341</v>
      </c>
      <c r="J30" s="34"/>
    </row>
    <row r="31" spans="2:10">
      <c r="B31" s="33">
        <v>9798</v>
      </c>
      <c r="C31" s="10">
        <v>43020</v>
      </c>
      <c r="D31" s="20">
        <v>612</v>
      </c>
      <c r="E31" s="11">
        <v>-426.51</v>
      </c>
      <c r="F31" s="12">
        <v>43020</v>
      </c>
      <c r="G31" s="6">
        <f ca="1">RANDBETWEEN(0,-Gastos[[#This Row],[IMPORTE]])</f>
        <v>302</v>
      </c>
      <c r="H31" s="20" t="s">
        <v>84</v>
      </c>
      <c r="I31" s="20" t="s">
        <v>342</v>
      </c>
      <c r="J31" s="34"/>
    </row>
    <row r="32" spans="2:10">
      <c r="B32" s="33">
        <v>9799</v>
      </c>
      <c r="C32" s="10">
        <v>43020</v>
      </c>
      <c r="D32" s="20">
        <v>662</v>
      </c>
      <c r="E32" s="11">
        <v>-18</v>
      </c>
      <c r="F32" s="12">
        <v>43020</v>
      </c>
      <c r="G32" s="6">
        <f ca="1">RANDBETWEEN(0,-Gastos[[#This Row],[IMPORTE]])</f>
        <v>13</v>
      </c>
      <c r="H32" s="20" t="s">
        <v>83</v>
      </c>
      <c r="I32" s="20" t="s">
        <v>343</v>
      </c>
      <c r="J32" s="34"/>
    </row>
    <row r="33" spans="2:10">
      <c r="B33" s="33">
        <v>9800</v>
      </c>
      <c r="C33" s="10">
        <v>43021</v>
      </c>
      <c r="D33" s="20">
        <v>662</v>
      </c>
      <c r="E33" s="11">
        <v>-103.25</v>
      </c>
      <c r="F33" s="12">
        <v>43021</v>
      </c>
      <c r="G33" s="6">
        <f ca="1">RANDBETWEEN(0,-Gastos[[#This Row],[IMPORTE]])</f>
        <v>6</v>
      </c>
      <c r="H33" s="20" t="s">
        <v>83</v>
      </c>
      <c r="I33" s="20" t="s">
        <v>344</v>
      </c>
      <c r="J33" s="34"/>
    </row>
    <row r="34" spans="2:10">
      <c r="B34" s="33">
        <v>9801</v>
      </c>
      <c r="C34" s="10">
        <v>43021</v>
      </c>
      <c r="D34" s="20">
        <v>662</v>
      </c>
      <c r="E34" s="11">
        <v>-268.44</v>
      </c>
      <c r="F34" s="12">
        <v>43021</v>
      </c>
      <c r="G34" s="6">
        <f ca="1">RANDBETWEEN(0,-Gastos[[#This Row],[IMPORTE]])</f>
        <v>85</v>
      </c>
      <c r="H34" s="20" t="s">
        <v>83</v>
      </c>
      <c r="I34" s="20" t="s">
        <v>345</v>
      </c>
      <c r="J34" s="34"/>
    </row>
    <row r="35" spans="2:10">
      <c r="B35" s="33">
        <v>9802</v>
      </c>
      <c r="C35" s="10">
        <v>43021</v>
      </c>
      <c r="D35" s="20">
        <v>662</v>
      </c>
      <c r="E35" s="11">
        <v>-14.73</v>
      </c>
      <c r="F35" s="12">
        <v>43021</v>
      </c>
      <c r="G35" s="6">
        <f ca="1">RANDBETWEEN(0,-Gastos[[#This Row],[IMPORTE]])</f>
        <v>0</v>
      </c>
      <c r="H35" s="20" t="s">
        <v>83</v>
      </c>
      <c r="I35" s="20" t="s">
        <v>346</v>
      </c>
      <c r="J35" s="34"/>
    </row>
    <row r="36" spans="2:10">
      <c r="B36" s="33">
        <v>9803</v>
      </c>
      <c r="C36" s="10">
        <v>43021</v>
      </c>
      <c r="D36" s="22">
        <v>835</v>
      </c>
      <c r="E36" s="11">
        <v>-149189.04999999999</v>
      </c>
      <c r="F36" s="12">
        <v>43021</v>
      </c>
      <c r="G36" s="6">
        <f ca="1">RANDBETWEEN(0,-Gastos[[#This Row],[IMPORTE]])</f>
        <v>107821</v>
      </c>
      <c r="H36" s="22" t="s">
        <v>347</v>
      </c>
      <c r="I36" s="22"/>
      <c r="J36" s="34"/>
    </row>
    <row r="37" spans="2:10">
      <c r="B37" s="33">
        <v>9804</v>
      </c>
      <c r="C37" s="10">
        <v>43021</v>
      </c>
      <c r="D37" s="22">
        <v>662</v>
      </c>
      <c r="E37" s="11">
        <v>-895.13</v>
      </c>
      <c r="F37" s="12">
        <v>43021</v>
      </c>
      <c r="G37" s="6">
        <f ca="1">RANDBETWEEN(0,-Gastos[[#This Row],[IMPORTE]])</f>
        <v>593</v>
      </c>
      <c r="H37" s="22" t="s">
        <v>83</v>
      </c>
      <c r="I37" s="22" t="s">
        <v>347</v>
      </c>
      <c r="J37" s="34"/>
    </row>
    <row r="38" spans="2:10">
      <c r="B38" s="33">
        <v>9805</v>
      </c>
      <c r="C38" s="10">
        <v>43021</v>
      </c>
      <c r="D38" s="20">
        <v>662</v>
      </c>
      <c r="E38" s="11">
        <v>-240</v>
      </c>
      <c r="F38" s="12">
        <v>43021</v>
      </c>
      <c r="G38" s="6">
        <f ca="1">RANDBETWEEN(0,-Gastos[[#This Row],[IMPORTE]])</f>
        <v>178</v>
      </c>
      <c r="H38" s="20" t="s">
        <v>83</v>
      </c>
      <c r="I38" s="20" t="s">
        <v>92</v>
      </c>
      <c r="J38" s="34"/>
    </row>
    <row r="39" spans="2:10">
      <c r="B39" s="33">
        <v>9806</v>
      </c>
      <c r="C39" s="10">
        <v>43021</v>
      </c>
      <c r="D39" s="20">
        <v>662</v>
      </c>
      <c r="E39" s="11">
        <v>-47.49</v>
      </c>
      <c r="F39" s="12">
        <v>43021</v>
      </c>
      <c r="G39" s="6">
        <f ca="1">RANDBETWEEN(0,-Gastos[[#This Row],[IMPORTE]])</f>
        <v>38</v>
      </c>
      <c r="H39" s="20" t="s">
        <v>83</v>
      </c>
      <c r="I39" s="20" t="s">
        <v>92</v>
      </c>
      <c r="J39" s="34"/>
    </row>
    <row r="40" spans="2:10">
      <c r="B40" s="33">
        <v>9807</v>
      </c>
      <c r="C40" s="10">
        <v>43021</v>
      </c>
      <c r="D40" s="19">
        <v>310</v>
      </c>
      <c r="E40" s="21">
        <v>-19911.04</v>
      </c>
      <c r="F40" s="12">
        <v>43021</v>
      </c>
      <c r="G40" s="6">
        <f ca="1">RANDBETWEEN(0,-Gastos[[#This Row],[IMPORTE]])</f>
        <v>19360</v>
      </c>
      <c r="H40" s="19" t="s">
        <v>85</v>
      </c>
      <c r="I40" s="19" t="s">
        <v>86</v>
      </c>
      <c r="J40" s="34"/>
    </row>
    <row r="41" spans="2:10">
      <c r="B41" s="33">
        <v>9808</v>
      </c>
      <c r="C41" s="10">
        <v>43021</v>
      </c>
      <c r="D41" s="19">
        <v>662</v>
      </c>
      <c r="E41" s="21">
        <v>-119.47</v>
      </c>
      <c r="F41" s="12">
        <v>43021</v>
      </c>
      <c r="G41" s="6">
        <f ca="1">RANDBETWEEN(0,-Gastos[[#This Row],[IMPORTE]])</f>
        <v>50</v>
      </c>
      <c r="H41" s="19" t="s">
        <v>83</v>
      </c>
      <c r="I41" s="19" t="s">
        <v>85</v>
      </c>
      <c r="J41" s="34"/>
    </row>
    <row r="42" spans="2:10">
      <c r="B42" s="33">
        <v>9809</v>
      </c>
      <c r="C42" s="10">
        <v>43021</v>
      </c>
      <c r="D42" s="20">
        <v>612</v>
      </c>
      <c r="E42" s="11">
        <v>-480</v>
      </c>
      <c r="F42" s="12">
        <v>43021</v>
      </c>
      <c r="G42" s="6">
        <f ca="1">RANDBETWEEN(0,-Gastos[[#This Row],[IMPORTE]])</f>
        <v>364</v>
      </c>
      <c r="H42" s="20" t="s">
        <v>84</v>
      </c>
      <c r="I42" s="20" t="s">
        <v>348</v>
      </c>
      <c r="J42" s="34"/>
    </row>
    <row r="43" spans="2:10">
      <c r="B43" s="33">
        <v>9810</v>
      </c>
      <c r="C43" s="10">
        <v>43021</v>
      </c>
      <c r="D43" s="20">
        <v>612</v>
      </c>
      <c r="E43" s="11">
        <v>-480</v>
      </c>
      <c r="F43" s="12">
        <v>43021</v>
      </c>
      <c r="G43" s="6">
        <f ca="1">RANDBETWEEN(0,-Gastos[[#This Row],[IMPORTE]])</f>
        <v>200</v>
      </c>
      <c r="H43" s="20" t="s">
        <v>84</v>
      </c>
      <c r="I43" s="20" t="s">
        <v>349</v>
      </c>
      <c r="J43" s="34"/>
    </row>
    <row r="44" spans="2:10">
      <c r="B44" s="33">
        <v>9811</v>
      </c>
      <c r="C44" s="10">
        <v>43021</v>
      </c>
      <c r="D44" s="20">
        <v>612</v>
      </c>
      <c r="E44" s="11">
        <v>-7.4</v>
      </c>
      <c r="F44" s="12">
        <v>43021</v>
      </c>
      <c r="G44" s="6">
        <f ca="1">RANDBETWEEN(0,-Gastos[[#This Row],[IMPORTE]])</f>
        <v>0</v>
      </c>
      <c r="H44" s="20" t="s">
        <v>84</v>
      </c>
      <c r="I44" s="20" t="s">
        <v>350</v>
      </c>
      <c r="J44" s="34"/>
    </row>
    <row r="45" spans="2:10">
      <c r="B45" s="33">
        <v>9812</v>
      </c>
      <c r="C45" s="10">
        <v>43021</v>
      </c>
      <c r="D45" s="20">
        <v>612</v>
      </c>
      <c r="E45" s="11">
        <v>-16.13</v>
      </c>
      <c r="F45" s="12">
        <v>43021</v>
      </c>
      <c r="G45" s="6">
        <f ca="1">RANDBETWEEN(0,-Gastos[[#This Row],[IMPORTE]])</f>
        <v>2</v>
      </c>
      <c r="H45" s="20" t="s">
        <v>84</v>
      </c>
      <c r="I45" s="20" t="s">
        <v>351</v>
      </c>
      <c r="J45" s="34"/>
    </row>
    <row r="46" spans="2:10">
      <c r="B46" s="33">
        <v>9813</v>
      </c>
      <c r="C46" s="10">
        <v>43021</v>
      </c>
      <c r="D46" s="20">
        <v>612</v>
      </c>
      <c r="E46" s="11">
        <v>-866.63</v>
      </c>
      <c r="F46" s="12">
        <v>43021</v>
      </c>
      <c r="G46" s="6">
        <f ca="1">RANDBETWEEN(0,-Gastos[[#This Row],[IMPORTE]])</f>
        <v>632</v>
      </c>
      <c r="H46" s="20" t="s">
        <v>84</v>
      </c>
      <c r="I46" s="20" t="s">
        <v>352</v>
      </c>
      <c r="J46" s="34"/>
    </row>
    <row r="47" spans="2:10">
      <c r="B47" s="33">
        <v>9814</v>
      </c>
      <c r="C47" s="2">
        <v>42844</v>
      </c>
      <c r="D47" s="7">
        <v>125</v>
      </c>
      <c r="E47" s="4">
        <v>-2927.51</v>
      </c>
      <c r="F47" s="5">
        <v>43024</v>
      </c>
      <c r="G47" s="6">
        <f ca="1">RANDBETWEEN(0,-Gastos[[#This Row],[IMPORTE]])</f>
        <v>2869</v>
      </c>
      <c r="H47" s="7" t="s">
        <v>91</v>
      </c>
      <c r="I47" s="7" t="s">
        <v>94</v>
      </c>
      <c r="J47" s="34"/>
    </row>
    <row r="48" spans="2:10">
      <c r="B48" s="33">
        <v>9815</v>
      </c>
      <c r="C48" s="2">
        <v>42962</v>
      </c>
      <c r="D48" s="7">
        <v>125</v>
      </c>
      <c r="E48" s="4">
        <v>-177212.77</v>
      </c>
      <c r="F48" s="5">
        <v>43024</v>
      </c>
      <c r="G48" s="6">
        <f ca="1">RANDBETWEEN(0,-Gastos[[#This Row],[IMPORTE]])</f>
        <v>72413</v>
      </c>
      <c r="H48" s="7" t="s">
        <v>93</v>
      </c>
      <c r="I48" s="7" t="s">
        <v>95</v>
      </c>
      <c r="J48" s="34"/>
    </row>
    <row r="49" spans="2:10">
      <c r="B49" s="33">
        <v>9816</v>
      </c>
      <c r="C49" s="2">
        <v>42844</v>
      </c>
      <c r="D49" s="7">
        <v>125</v>
      </c>
      <c r="E49" s="4">
        <v>-2927.51</v>
      </c>
      <c r="F49" s="5">
        <v>43055</v>
      </c>
      <c r="G49" s="6">
        <f ca="1">RANDBETWEEN(0,-Gastos[[#This Row],[IMPORTE]])</f>
        <v>1805</v>
      </c>
      <c r="H49" s="7" t="s">
        <v>91</v>
      </c>
      <c r="I49" s="7" t="s">
        <v>96</v>
      </c>
      <c r="J49" s="34"/>
    </row>
    <row r="50" spans="2:10">
      <c r="B50" s="33">
        <v>9817</v>
      </c>
      <c r="C50" s="2">
        <v>42962</v>
      </c>
      <c r="D50" s="7">
        <v>125</v>
      </c>
      <c r="E50" s="4">
        <v>-177212.77</v>
      </c>
      <c r="F50" s="5">
        <v>43055</v>
      </c>
      <c r="G50" s="6">
        <f ca="1">RANDBETWEEN(0,-Gastos[[#This Row],[IMPORTE]])</f>
        <v>166560</v>
      </c>
      <c r="H50" s="7" t="s">
        <v>93</v>
      </c>
      <c r="I50" s="7" t="s">
        <v>87</v>
      </c>
      <c r="J50" s="34"/>
    </row>
    <row r="51" spans="2:10">
      <c r="B51" s="33">
        <v>9818</v>
      </c>
      <c r="C51" s="2">
        <v>42844</v>
      </c>
      <c r="D51" s="7">
        <v>125</v>
      </c>
      <c r="E51" s="4">
        <v>-2927.51</v>
      </c>
      <c r="F51" s="5">
        <v>43085</v>
      </c>
      <c r="G51" s="6">
        <f ca="1">RANDBETWEEN(0,-Gastos[[#This Row],[IMPORTE]])</f>
        <v>65</v>
      </c>
      <c r="H51" s="7" t="s">
        <v>91</v>
      </c>
      <c r="I51" s="7" t="s">
        <v>97</v>
      </c>
      <c r="J51" s="34"/>
    </row>
    <row r="52" spans="2:10">
      <c r="B52" s="33">
        <v>9819</v>
      </c>
      <c r="C52" s="2">
        <v>42962</v>
      </c>
      <c r="D52" s="7">
        <v>125</v>
      </c>
      <c r="E52" s="4">
        <v>-177212.77</v>
      </c>
      <c r="F52" s="5">
        <v>43085</v>
      </c>
      <c r="G52" s="6">
        <f ca="1">RANDBETWEEN(0,-Gastos[[#This Row],[IMPORTE]])</f>
        <v>159381</v>
      </c>
      <c r="H52" s="7" t="s">
        <v>93</v>
      </c>
      <c r="I52" s="7" t="s">
        <v>88</v>
      </c>
      <c r="J52" s="34"/>
    </row>
    <row r="53" spans="2:10">
      <c r="B53" s="33">
        <v>9820</v>
      </c>
      <c r="C53" s="2">
        <v>42844</v>
      </c>
      <c r="D53" s="7">
        <v>125</v>
      </c>
      <c r="E53" s="4">
        <v>-2927.51</v>
      </c>
      <c r="F53" s="5">
        <v>43116</v>
      </c>
      <c r="G53" s="6">
        <f ca="1">RANDBETWEEN(0,-Gastos[[#This Row],[IMPORTE]])</f>
        <v>1445</v>
      </c>
      <c r="H53" s="7" t="s">
        <v>91</v>
      </c>
      <c r="I53" s="7" t="s">
        <v>98</v>
      </c>
      <c r="J53" s="34"/>
    </row>
    <row r="54" spans="2:10">
      <c r="B54" s="33">
        <v>9821</v>
      </c>
      <c r="C54" s="2">
        <v>42962</v>
      </c>
      <c r="D54" s="7">
        <v>125</v>
      </c>
      <c r="E54" s="4">
        <v>-177212.77</v>
      </c>
      <c r="F54" s="5">
        <v>43116</v>
      </c>
      <c r="G54" s="6">
        <f ca="1">RANDBETWEEN(0,-Gastos[[#This Row],[IMPORTE]])</f>
        <v>157223</v>
      </c>
      <c r="H54" s="7" t="s">
        <v>93</v>
      </c>
      <c r="I54" s="7" t="s">
        <v>89</v>
      </c>
      <c r="J54" s="34"/>
    </row>
    <row r="55" spans="2:10">
      <c r="B55" s="33">
        <v>9822</v>
      </c>
      <c r="C55" s="2">
        <v>42844</v>
      </c>
      <c r="D55" s="7">
        <v>125</v>
      </c>
      <c r="E55" s="4">
        <v>-2927.51</v>
      </c>
      <c r="F55" s="5">
        <v>43147</v>
      </c>
      <c r="G55" s="6">
        <f ca="1">RANDBETWEEN(0,-Gastos[[#This Row],[IMPORTE]])</f>
        <v>257</v>
      </c>
      <c r="H55" s="7" t="s">
        <v>91</v>
      </c>
      <c r="I55" s="7" t="s">
        <v>99</v>
      </c>
      <c r="J55" s="34"/>
    </row>
    <row r="56" spans="2:10">
      <c r="B56" s="33">
        <v>9823</v>
      </c>
      <c r="C56" s="2">
        <v>42962</v>
      </c>
      <c r="D56" s="7">
        <v>125</v>
      </c>
      <c r="E56" s="4">
        <v>-177212.77</v>
      </c>
      <c r="F56" s="5">
        <v>43147</v>
      </c>
      <c r="G56" s="6">
        <f ca="1">RANDBETWEEN(0,-Gastos[[#This Row],[IMPORTE]])</f>
        <v>79169</v>
      </c>
      <c r="H56" s="7" t="s">
        <v>93</v>
      </c>
      <c r="I56" s="7" t="s">
        <v>90</v>
      </c>
      <c r="J56" s="34"/>
    </row>
    <row r="57" spans="2:10">
      <c r="B57" s="33">
        <v>9824</v>
      </c>
      <c r="C57" s="2">
        <v>42844</v>
      </c>
      <c r="D57" s="7">
        <v>125</v>
      </c>
      <c r="E57" s="4">
        <v>-2927.51</v>
      </c>
      <c r="F57" s="5">
        <v>43175</v>
      </c>
      <c r="G57" s="6">
        <f ca="1">RANDBETWEEN(0,-Gastos[[#This Row],[IMPORTE]])</f>
        <v>2841</v>
      </c>
      <c r="H57" s="7" t="s">
        <v>91</v>
      </c>
      <c r="I57" s="7" t="s">
        <v>100</v>
      </c>
      <c r="J57" s="34"/>
    </row>
    <row r="58" spans="2:10">
      <c r="B58" s="33">
        <v>9825</v>
      </c>
      <c r="C58" s="2">
        <v>42844</v>
      </c>
      <c r="D58" s="7">
        <v>125</v>
      </c>
      <c r="E58" s="4">
        <v>-2927.51</v>
      </c>
      <c r="F58" s="5">
        <v>43206</v>
      </c>
      <c r="G58" s="6">
        <f ca="1">RANDBETWEEN(0,-Gastos[[#This Row],[IMPORTE]])</f>
        <v>2212</v>
      </c>
      <c r="H58" s="7" t="s">
        <v>91</v>
      </c>
      <c r="I58" s="7" t="s">
        <v>101</v>
      </c>
      <c r="J58" s="34"/>
    </row>
    <row r="59" spans="2:10">
      <c r="B59" s="33">
        <v>9826</v>
      </c>
      <c r="C59" s="2">
        <v>42844</v>
      </c>
      <c r="D59" s="7">
        <v>125</v>
      </c>
      <c r="E59" s="4">
        <v>-2927.51</v>
      </c>
      <c r="F59" s="5">
        <v>43236</v>
      </c>
      <c r="G59" s="6">
        <f ca="1">RANDBETWEEN(0,-Gastos[[#This Row],[IMPORTE]])</f>
        <v>2554</v>
      </c>
      <c r="H59" s="7" t="s">
        <v>91</v>
      </c>
      <c r="I59" s="7" t="s">
        <v>102</v>
      </c>
      <c r="J59" s="34"/>
    </row>
    <row r="60" spans="2:10">
      <c r="B60" s="33">
        <v>9827</v>
      </c>
      <c r="C60" s="2">
        <v>42844</v>
      </c>
      <c r="D60" s="7">
        <v>125</v>
      </c>
      <c r="E60" s="4">
        <v>-2927.51</v>
      </c>
      <c r="F60" s="5">
        <v>43267</v>
      </c>
      <c r="G60" s="6">
        <f ca="1">RANDBETWEEN(0,-Gastos[[#This Row],[IMPORTE]])</f>
        <v>193</v>
      </c>
      <c r="H60" s="7" t="s">
        <v>91</v>
      </c>
      <c r="I60" s="7" t="s">
        <v>103</v>
      </c>
      <c r="J60" s="34"/>
    </row>
    <row r="61" spans="2:10">
      <c r="B61" s="33">
        <v>9828</v>
      </c>
      <c r="C61" s="2">
        <v>42844</v>
      </c>
      <c r="D61" s="7">
        <v>125</v>
      </c>
      <c r="E61" s="4">
        <v>-2927.51</v>
      </c>
      <c r="F61" s="5">
        <v>43297</v>
      </c>
      <c r="G61" s="6">
        <f ca="1">RANDBETWEEN(0,-Gastos[[#This Row],[IMPORTE]])</f>
        <v>2003</v>
      </c>
      <c r="H61" s="7" t="s">
        <v>91</v>
      </c>
      <c r="I61" s="7" t="s">
        <v>104</v>
      </c>
      <c r="J61" s="34"/>
    </row>
    <row r="62" spans="2:10">
      <c r="B62" s="33">
        <v>9829</v>
      </c>
      <c r="C62" s="2">
        <v>42844</v>
      </c>
      <c r="D62" s="7">
        <v>125</v>
      </c>
      <c r="E62" s="4">
        <v>-2927.51</v>
      </c>
      <c r="F62" s="5">
        <v>43328</v>
      </c>
      <c r="G62" s="6">
        <f ca="1">RANDBETWEEN(0,-Gastos[[#This Row],[IMPORTE]])</f>
        <v>1469</v>
      </c>
      <c r="H62" s="7" t="s">
        <v>91</v>
      </c>
      <c r="I62" s="7" t="s">
        <v>105</v>
      </c>
      <c r="J62" s="34"/>
    </row>
    <row r="63" spans="2:10">
      <c r="B63" s="33">
        <v>9830</v>
      </c>
      <c r="C63" s="2">
        <v>42844</v>
      </c>
      <c r="D63" s="7">
        <v>125</v>
      </c>
      <c r="E63" s="4">
        <v>-2927.51</v>
      </c>
      <c r="F63" s="5">
        <v>43359</v>
      </c>
      <c r="G63" s="6">
        <f ca="1">RANDBETWEEN(0,-Gastos[[#This Row],[IMPORTE]])</f>
        <v>92</v>
      </c>
      <c r="H63" s="7" t="s">
        <v>91</v>
      </c>
      <c r="I63" s="7" t="s">
        <v>106</v>
      </c>
      <c r="J63" s="34"/>
    </row>
    <row r="64" spans="2:10">
      <c r="B64" s="33">
        <v>9831</v>
      </c>
      <c r="C64" s="2">
        <v>42844</v>
      </c>
      <c r="D64" s="7">
        <v>125</v>
      </c>
      <c r="E64" s="4">
        <v>-2927.51</v>
      </c>
      <c r="F64" s="5">
        <v>43389</v>
      </c>
      <c r="G64" s="6">
        <f ca="1">RANDBETWEEN(0,-Gastos[[#This Row],[IMPORTE]])</f>
        <v>2830</v>
      </c>
      <c r="H64" s="7" t="s">
        <v>91</v>
      </c>
      <c r="I64" s="7" t="s">
        <v>107</v>
      </c>
      <c r="J64" s="34"/>
    </row>
    <row r="65" spans="2:10">
      <c r="B65" s="33">
        <v>9832</v>
      </c>
      <c r="C65" s="2">
        <v>42844</v>
      </c>
      <c r="D65" s="7">
        <v>125</v>
      </c>
      <c r="E65" s="4">
        <v>-2927.51</v>
      </c>
      <c r="F65" s="5">
        <v>43420</v>
      </c>
      <c r="G65" s="6">
        <f ca="1">RANDBETWEEN(0,-Gastos[[#This Row],[IMPORTE]])</f>
        <v>581</v>
      </c>
      <c r="H65" s="7" t="s">
        <v>91</v>
      </c>
      <c r="I65" s="7" t="s">
        <v>108</v>
      </c>
      <c r="J65" s="34"/>
    </row>
    <row r="66" spans="2:10">
      <c r="B66" s="33">
        <v>9833</v>
      </c>
      <c r="C66" s="2">
        <v>42844</v>
      </c>
      <c r="D66" s="7">
        <v>125</v>
      </c>
      <c r="E66" s="4">
        <v>-2927.51</v>
      </c>
      <c r="F66" s="5">
        <v>43450</v>
      </c>
      <c r="G66" s="6">
        <f ca="1">RANDBETWEEN(0,-Gastos[[#This Row],[IMPORTE]])</f>
        <v>2412</v>
      </c>
      <c r="H66" s="7" t="s">
        <v>91</v>
      </c>
      <c r="I66" s="7" t="s">
        <v>109</v>
      </c>
      <c r="J66" s="34"/>
    </row>
    <row r="67" spans="2:10">
      <c r="B67" s="33">
        <v>9834</v>
      </c>
      <c r="C67" s="2">
        <v>42844</v>
      </c>
      <c r="D67" s="7">
        <v>125</v>
      </c>
      <c r="E67" s="4">
        <v>-2927.51</v>
      </c>
      <c r="F67" s="5">
        <v>43481</v>
      </c>
      <c r="G67" s="6">
        <f ca="1">RANDBETWEEN(0,-Gastos[[#This Row],[IMPORTE]])</f>
        <v>2698</v>
      </c>
      <c r="H67" s="7" t="s">
        <v>91</v>
      </c>
      <c r="I67" s="7" t="s">
        <v>110</v>
      </c>
      <c r="J67" s="34"/>
    </row>
    <row r="68" spans="2:10">
      <c r="B68" s="33">
        <v>9835</v>
      </c>
      <c r="C68" s="2">
        <v>42844</v>
      </c>
      <c r="D68" s="7">
        <v>125</v>
      </c>
      <c r="E68" s="4">
        <v>-2927.51</v>
      </c>
      <c r="F68" s="5">
        <v>43512</v>
      </c>
      <c r="G68" s="6">
        <f ca="1">RANDBETWEEN(0,-Gastos[[#This Row],[IMPORTE]])</f>
        <v>706</v>
      </c>
      <c r="H68" s="7" t="s">
        <v>91</v>
      </c>
      <c r="I68" s="7" t="s">
        <v>111</v>
      </c>
      <c r="J68" s="34"/>
    </row>
    <row r="69" spans="2:10">
      <c r="B69" s="33">
        <v>9836</v>
      </c>
      <c r="C69" s="2">
        <v>42844</v>
      </c>
      <c r="D69" s="7">
        <v>125</v>
      </c>
      <c r="E69" s="4">
        <v>-2927.51</v>
      </c>
      <c r="F69" s="5">
        <v>43540</v>
      </c>
      <c r="G69" s="6">
        <f ca="1">RANDBETWEEN(0,-Gastos[[#This Row],[IMPORTE]])</f>
        <v>2447</v>
      </c>
      <c r="H69" s="7" t="s">
        <v>91</v>
      </c>
      <c r="I69" s="7" t="s">
        <v>112</v>
      </c>
      <c r="J69" s="34"/>
    </row>
    <row r="70" spans="2:10">
      <c r="B70" s="33">
        <v>9837</v>
      </c>
      <c r="C70" s="2">
        <v>42844</v>
      </c>
      <c r="D70" s="7">
        <v>125</v>
      </c>
      <c r="E70" s="4">
        <v>-2927.51</v>
      </c>
      <c r="F70" s="5">
        <v>43571</v>
      </c>
      <c r="G70" s="6">
        <f ca="1">RANDBETWEEN(0,-Gastos[[#This Row],[IMPORTE]])</f>
        <v>2610</v>
      </c>
      <c r="H70" s="7" t="s">
        <v>91</v>
      </c>
      <c r="I70" s="7" t="s">
        <v>113</v>
      </c>
      <c r="J70" s="34"/>
    </row>
    <row r="71" spans="2:10">
      <c r="B71" s="33">
        <v>9838</v>
      </c>
      <c r="C71" s="2">
        <v>42844</v>
      </c>
      <c r="D71" s="7">
        <v>125</v>
      </c>
      <c r="E71" s="4">
        <v>-2927.51</v>
      </c>
      <c r="F71" s="5">
        <v>43601</v>
      </c>
      <c r="G71" s="6">
        <f ca="1">RANDBETWEEN(0,-Gastos[[#This Row],[IMPORTE]])</f>
        <v>486</v>
      </c>
      <c r="H71" s="7" t="s">
        <v>91</v>
      </c>
      <c r="I71" s="7" t="s">
        <v>114</v>
      </c>
      <c r="J71" s="34"/>
    </row>
    <row r="72" spans="2:10">
      <c r="B72" s="33">
        <v>9839</v>
      </c>
      <c r="C72" s="2">
        <v>42844</v>
      </c>
      <c r="D72" s="7">
        <v>125</v>
      </c>
      <c r="E72" s="4">
        <v>-2927.51</v>
      </c>
      <c r="F72" s="5">
        <v>43632</v>
      </c>
      <c r="G72" s="6">
        <f ca="1">RANDBETWEEN(0,-Gastos[[#This Row],[IMPORTE]])</f>
        <v>1106</v>
      </c>
      <c r="H72" s="7" t="s">
        <v>91</v>
      </c>
      <c r="I72" s="7" t="s">
        <v>115</v>
      </c>
      <c r="J72" s="34"/>
    </row>
    <row r="73" spans="2:10">
      <c r="B73" s="33">
        <v>9840</v>
      </c>
      <c r="C73" s="2">
        <v>42844</v>
      </c>
      <c r="D73" s="7">
        <v>125</v>
      </c>
      <c r="E73" s="4">
        <v>-2927.51</v>
      </c>
      <c r="F73" s="5">
        <v>43662</v>
      </c>
      <c r="G73" s="6">
        <f ca="1">RANDBETWEEN(0,-Gastos[[#This Row],[IMPORTE]])</f>
        <v>500</v>
      </c>
      <c r="H73" s="7" t="s">
        <v>91</v>
      </c>
      <c r="I73" s="7" t="s">
        <v>116</v>
      </c>
      <c r="J73" s="34"/>
    </row>
    <row r="74" spans="2:10">
      <c r="B74" s="33">
        <v>9841</v>
      </c>
      <c r="C74" s="2">
        <v>42844</v>
      </c>
      <c r="D74" s="7">
        <v>125</v>
      </c>
      <c r="E74" s="4">
        <v>-2927.51</v>
      </c>
      <c r="F74" s="5">
        <v>43693</v>
      </c>
      <c r="G74" s="6">
        <f ca="1">RANDBETWEEN(0,-Gastos[[#This Row],[IMPORTE]])</f>
        <v>2545</v>
      </c>
      <c r="H74" s="7" t="s">
        <v>91</v>
      </c>
      <c r="I74" s="7" t="s">
        <v>117</v>
      </c>
      <c r="J74" s="34"/>
    </row>
    <row r="75" spans="2:10">
      <c r="B75" s="33">
        <v>9842</v>
      </c>
      <c r="C75" s="2">
        <v>42844</v>
      </c>
      <c r="D75" s="7">
        <v>125</v>
      </c>
      <c r="E75" s="4">
        <v>-2927.51</v>
      </c>
      <c r="F75" s="5">
        <v>43724</v>
      </c>
      <c r="G75" s="6">
        <f ca="1">RANDBETWEEN(0,-Gastos[[#This Row],[IMPORTE]])</f>
        <v>1380</v>
      </c>
      <c r="H75" s="7" t="s">
        <v>91</v>
      </c>
      <c r="I75" s="7" t="s">
        <v>118</v>
      </c>
      <c r="J75" s="34"/>
    </row>
    <row r="76" spans="2:10">
      <c r="B76" s="33">
        <v>9843</v>
      </c>
      <c r="C76" s="2">
        <v>42844</v>
      </c>
      <c r="D76" s="7">
        <v>125</v>
      </c>
      <c r="E76" s="4">
        <v>-2927.51</v>
      </c>
      <c r="F76" s="5">
        <v>43754</v>
      </c>
      <c r="G76" s="6">
        <f ca="1">RANDBETWEEN(0,-Gastos[[#This Row],[IMPORTE]])</f>
        <v>1516</v>
      </c>
      <c r="H76" s="7" t="s">
        <v>91</v>
      </c>
      <c r="I76" s="7" t="s">
        <v>119</v>
      </c>
      <c r="J76" s="34"/>
    </row>
    <row r="77" spans="2:10">
      <c r="B77" s="33">
        <v>9844</v>
      </c>
      <c r="C77" s="2">
        <v>42844</v>
      </c>
      <c r="D77" s="7">
        <v>125</v>
      </c>
      <c r="E77" s="4">
        <v>-2927.51</v>
      </c>
      <c r="F77" s="5">
        <v>43785</v>
      </c>
      <c r="G77" s="6">
        <f ca="1">RANDBETWEEN(0,-Gastos[[#This Row],[IMPORTE]])</f>
        <v>311</v>
      </c>
      <c r="H77" s="7" t="s">
        <v>91</v>
      </c>
      <c r="I77" s="7" t="s">
        <v>120</v>
      </c>
      <c r="J77" s="34"/>
    </row>
    <row r="78" spans="2:10">
      <c r="B78" s="33">
        <v>9845</v>
      </c>
      <c r="C78" s="2">
        <v>42844</v>
      </c>
      <c r="D78" s="7">
        <v>125</v>
      </c>
      <c r="E78" s="4">
        <v>-2927.51</v>
      </c>
      <c r="F78" s="5">
        <v>43815</v>
      </c>
      <c r="G78" s="6">
        <f ca="1">RANDBETWEEN(0,-Gastos[[#This Row],[IMPORTE]])</f>
        <v>324</v>
      </c>
      <c r="H78" s="7" t="s">
        <v>91</v>
      </c>
      <c r="I78" s="7" t="s">
        <v>121</v>
      </c>
      <c r="J78" s="34"/>
    </row>
    <row r="79" spans="2:10">
      <c r="B79" s="33">
        <v>9846</v>
      </c>
      <c r="C79" s="2">
        <v>42844</v>
      </c>
      <c r="D79" s="7">
        <v>125</v>
      </c>
      <c r="E79" s="4">
        <v>-2927.51</v>
      </c>
      <c r="F79" s="5">
        <v>43846</v>
      </c>
      <c r="G79" s="6">
        <f ca="1">RANDBETWEEN(0,-Gastos[[#This Row],[IMPORTE]])</f>
        <v>1565</v>
      </c>
      <c r="H79" s="7" t="s">
        <v>91</v>
      </c>
      <c r="I79" s="7" t="s">
        <v>122</v>
      </c>
      <c r="J79" s="34"/>
    </row>
    <row r="80" spans="2:10">
      <c r="B80" s="33">
        <v>9847</v>
      </c>
      <c r="C80" s="2">
        <v>42844</v>
      </c>
      <c r="D80" s="7">
        <v>125</v>
      </c>
      <c r="E80" s="4">
        <v>-2927.51</v>
      </c>
      <c r="F80" s="5">
        <v>43877</v>
      </c>
      <c r="G80" s="6">
        <f ca="1">RANDBETWEEN(0,-Gastos[[#This Row],[IMPORTE]])</f>
        <v>892</v>
      </c>
      <c r="H80" s="7" t="s">
        <v>91</v>
      </c>
      <c r="I80" s="7" t="s">
        <v>123</v>
      </c>
      <c r="J80" s="34"/>
    </row>
    <row r="81" spans="2:10">
      <c r="B81" s="33">
        <v>9848</v>
      </c>
      <c r="C81" s="2">
        <v>42844</v>
      </c>
      <c r="D81" s="7">
        <v>125</v>
      </c>
      <c r="E81" s="4">
        <v>-2927.51</v>
      </c>
      <c r="F81" s="5">
        <v>43906</v>
      </c>
      <c r="G81" s="6">
        <f ca="1">RANDBETWEEN(0,-Gastos[[#This Row],[IMPORTE]])</f>
        <v>2644</v>
      </c>
      <c r="H81" s="7" t="s">
        <v>91</v>
      </c>
      <c r="I81" s="7" t="s">
        <v>124</v>
      </c>
      <c r="J81" s="34"/>
    </row>
    <row r="82" spans="2:10">
      <c r="B82" s="33">
        <v>9849</v>
      </c>
      <c r="C82" s="2">
        <v>42844</v>
      </c>
      <c r="D82" s="7">
        <v>125</v>
      </c>
      <c r="E82" s="4">
        <v>-2927.51</v>
      </c>
      <c r="F82" s="5">
        <v>43937</v>
      </c>
      <c r="G82" s="6">
        <f ca="1">RANDBETWEEN(0,-Gastos[[#This Row],[IMPORTE]])</f>
        <v>1728</v>
      </c>
      <c r="H82" s="7" t="s">
        <v>91</v>
      </c>
      <c r="I82" s="7" t="s">
        <v>125</v>
      </c>
      <c r="J82" s="34"/>
    </row>
    <row r="83" spans="2:10">
      <c r="B83" s="33">
        <v>9850</v>
      </c>
      <c r="C83" s="2">
        <v>42844</v>
      </c>
      <c r="D83" s="7">
        <v>125</v>
      </c>
      <c r="E83" s="4">
        <v>-2927.51</v>
      </c>
      <c r="F83" s="5">
        <v>43967</v>
      </c>
      <c r="G83" s="6">
        <f ca="1">RANDBETWEEN(0,-Gastos[[#This Row],[IMPORTE]])</f>
        <v>2250</v>
      </c>
      <c r="H83" s="7" t="s">
        <v>91</v>
      </c>
      <c r="I83" s="7" t="s">
        <v>126</v>
      </c>
      <c r="J83" s="34"/>
    </row>
    <row r="84" spans="2:10">
      <c r="B84" s="33">
        <v>9851</v>
      </c>
      <c r="C84" s="2">
        <v>42844</v>
      </c>
      <c r="D84" s="7">
        <v>125</v>
      </c>
      <c r="E84" s="4">
        <v>-2927.51</v>
      </c>
      <c r="F84" s="5">
        <v>43998</v>
      </c>
      <c r="G84" s="6">
        <f ca="1">RANDBETWEEN(0,-Gastos[[#This Row],[IMPORTE]])</f>
        <v>76</v>
      </c>
      <c r="H84" s="7" t="s">
        <v>91</v>
      </c>
      <c r="I84" s="7" t="s">
        <v>127</v>
      </c>
      <c r="J84" s="34"/>
    </row>
    <row r="85" spans="2:10">
      <c r="B85" s="33">
        <v>9852</v>
      </c>
      <c r="C85" s="2">
        <v>42844</v>
      </c>
      <c r="D85" s="7">
        <v>125</v>
      </c>
      <c r="E85" s="4">
        <v>-2927.51</v>
      </c>
      <c r="F85" s="5">
        <v>44028</v>
      </c>
      <c r="G85" s="6">
        <f ca="1">RANDBETWEEN(0,-Gastos[[#This Row],[IMPORTE]])</f>
        <v>1283</v>
      </c>
      <c r="H85" s="7" t="s">
        <v>91</v>
      </c>
      <c r="I85" s="7" t="s">
        <v>128</v>
      </c>
      <c r="J85" s="34"/>
    </row>
    <row r="86" spans="2:10">
      <c r="B86" s="33">
        <v>9853</v>
      </c>
      <c r="C86" s="2">
        <v>42844</v>
      </c>
      <c r="D86" s="7">
        <v>125</v>
      </c>
      <c r="E86" s="4">
        <v>-2927.51</v>
      </c>
      <c r="F86" s="5">
        <v>44059</v>
      </c>
      <c r="G86" s="6">
        <f ca="1">RANDBETWEEN(0,-Gastos[[#This Row],[IMPORTE]])</f>
        <v>2820</v>
      </c>
      <c r="H86" s="7" t="s">
        <v>91</v>
      </c>
      <c r="I86" s="7" t="s">
        <v>129</v>
      </c>
      <c r="J86" s="34"/>
    </row>
    <row r="87" spans="2:10">
      <c r="B87" s="33">
        <v>9854</v>
      </c>
      <c r="C87" s="2">
        <v>42844</v>
      </c>
      <c r="D87" s="7">
        <v>125</v>
      </c>
      <c r="E87" s="4">
        <v>-2927.51</v>
      </c>
      <c r="F87" s="5">
        <v>44090</v>
      </c>
      <c r="G87" s="6">
        <f ca="1">RANDBETWEEN(0,-Gastos[[#This Row],[IMPORTE]])</f>
        <v>875</v>
      </c>
      <c r="H87" s="7" t="s">
        <v>91</v>
      </c>
      <c r="I87" s="7" t="s">
        <v>130</v>
      </c>
      <c r="J87" s="34"/>
    </row>
    <row r="88" spans="2:10">
      <c r="B88" s="33">
        <v>9855</v>
      </c>
      <c r="C88" s="2">
        <v>42844</v>
      </c>
      <c r="D88" s="7">
        <v>125</v>
      </c>
      <c r="E88" s="4">
        <v>-2927.51</v>
      </c>
      <c r="F88" s="5">
        <v>44120</v>
      </c>
      <c r="G88" s="6">
        <f ca="1">RANDBETWEEN(0,-Gastos[[#This Row],[IMPORTE]])</f>
        <v>1193</v>
      </c>
      <c r="H88" s="7" t="s">
        <v>91</v>
      </c>
      <c r="I88" s="7" t="s">
        <v>131</v>
      </c>
      <c r="J88" s="34"/>
    </row>
    <row r="89" spans="2:10">
      <c r="B89" s="33">
        <v>9856</v>
      </c>
      <c r="C89" s="2">
        <v>42844</v>
      </c>
      <c r="D89" s="7">
        <v>125</v>
      </c>
      <c r="E89" s="4">
        <v>-2927.51</v>
      </c>
      <c r="F89" s="5">
        <v>44151</v>
      </c>
      <c r="G89" s="6">
        <f ca="1">RANDBETWEEN(0,-Gastos[[#This Row],[IMPORTE]])</f>
        <v>946</v>
      </c>
      <c r="H89" s="7" t="s">
        <v>91</v>
      </c>
      <c r="I89" s="7" t="s">
        <v>132</v>
      </c>
      <c r="J89" s="34"/>
    </row>
    <row r="90" spans="2:10">
      <c r="B90" s="33">
        <v>9857</v>
      </c>
      <c r="C90" s="2">
        <v>42844</v>
      </c>
      <c r="D90" s="7">
        <v>125</v>
      </c>
      <c r="E90" s="4">
        <v>-2927.51</v>
      </c>
      <c r="F90" s="5">
        <v>44181</v>
      </c>
      <c r="G90" s="6">
        <f ca="1">RANDBETWEEN(0,-Gastos[[#This Row],[IMPORTE]])</f>
        <v>2311</v>
      </c>
      <c r="H90" s="7" t="s">
        <v>91</v>
      </c>
      <c r="I90" s="7" t="s">
        <v>133</v>
      </c>
      <c r="J90" s="34"/>
    </row>
    <row r="91" spans="2:10">
      <c r="B91" s="33">
        <v>9858</v>
      </c>
      <c r="C91" s="2">
        <v>42844</v>
      </c>
      <c r="D91" s="7">
        <v>125</v>
      </c>
      <c r="E91" s="4">
        <v>-2927.51</v>
      </c>
      <c r="F91" s="5">
        <v>44212</v>
      </c>
      <c r="G91" s="6">
        <f ca="1">RANDBETWEEN(0,-Gastos[[#This Row],[IMPORTE]])</f>
        <v>2450</v>
      </c>
      <c r="H91" s="7" t="s">
        <v>91</v>
      </c>
      <c r="I91" s="7" t="s">
        <v>134</v>
      </c>
      <c r="J91" s="34"/>
    </row>
    <row r="92" spans="2:10">
      <c r="B92" s="33">
        <v>9859</v>
      </c>
      <c r="C92" s="2">
        <v>42844</v>
      </c>
      <c r="D92" s="7">
        <v>125</v>
      </c>
      <c r="E92" s="4">
        <v>-2927.51</v>
      </c>
      <c r="F92" s="5">
        <v>44243</v>
      </c>
      <c r="G92" s="6">
        <f ca="1">RANDBETWEEN(0,-Gastos[[#This Row],[IMPORTE]])</f>
        <v>1619</v>
      </c>
      <c r="H92" s="7" t="s">
        <v>91</v>
      </c>
      <c r="I92" s="7" t="s">
        <v>135</v>
      </c>
      <c r="J92" s="34"/>
    </row>
    <row r="93" spans="2:10">
      <c r="B93" s="33">
        <v>9860</v>
      </c>
      <c r="C93" s="2">
        <v>42844</v>
      </c>
      <c r="D93" s="7">
        <v>125</v>
      </c>
      <c r="E93" s="4">
        <v>-2927.51</v>
      </c>
      <c r="F93" s="5">
        <v>44271</v>
      </c>
      <c r="G93" s="6">
        <f ca="1">RANDBETWEEN(0,-Gastos[[#This Row],[IMPORTE]])</f>
        <v>2695</v>
      </c>
      <c r="H93" s="7" t="s">
        <v>91</v>
      </c>
      <c r="I93" s="7" t="s">
        <v>136</v>
      </c>
      <c r="J93" s="34"/>
    </row>
    <row r="94" spans="2:10">
      <c r="B94" s="33">
        <v>9861</v>
      </c>
      <c r="C94" s="2">
        <v>42844</v>
      </c>
      <c r="D94" s="7">
        <v>125</v>
      </c>
      <c r="E94" s="4">
        <v>-2927.51</v>
      </c>
      <c r="F94" s="5">
        <v>44302</v>
      </c>
      <c r="G94" s="6">
        <f ca="1">RANDBETWEEN(0,-Gastos[[#This Row],[IMPORTE]])</f>
        <v>43</v>
      </c>
      <c r="H94" s="7" t="s">
        <v>91</v>
      </c>
      <c r="I94" s="7" t="s">
        <v>137</v>
      </c>
      <c r="J94" s="34"/>
    </row>
    <row r="95" spans="2:10">
      <c r="B95" s="33">
        <v>9862</v>
      </c>
      <c r="C95" s="2">
        <v>42844</v>
      </c>
      <c r="D95" s="7">
        <v>125</v>
      </c>
      <c r="E95" s="4">
        <v>-2927.51</v>
      </c>
      <c r="F95" s="5">
        <v>44332</v>
      </c>
      <c r="G95" s="6">
        <f ca="1">RANDBETWEEN(0,-Gastos[[#This Row],[IMPORTE]])</f>
        <v>2018</v>
      </c>
      <c r="H95" s="7" t="s">
        <v>91</v>
      </c>
      <c r="I95" s="7" t="s">
        <v>138</v>
      </c>
      <c r="J95" s="34"/>
    </row>
    <row r="96" spans="2:10">
      <c r="B96" s="33">
        <v>9863</v>
      </c>
      <c r="C96" s="2">
        <v>42844</v>
      </c>
      <c r="D96" s="7">
        <v>125</v>
      </c>
      <c r="E96" s="4">
        <v>-2927.51</v>
      </c>
      <c r="F96" s="5">
        <v>44363</v>
      </c>
      <c r="G96" s="6">
        <f ca="1">RANDBETWEEN(0,-Gastos[[#This Row],[IMPORTE]])</f>
        <v>751</v>
      </c>
      <c r="H96" s="7" t="s">
        <v>91</v>
      </c>
      <c r="I96" s="7" t="s">
        <v>139</v>
      </c>
      <c r="J96" s="34"/>
    </row>
    <row r="97" spans="2:10">
      <c r="B97" s="33">
        <v>9864</v>
      </c>
      <c r="C97" s="2">
        <v>42844</v>
      </c>
      <c r="D97" s="7">
        <v>125</v>
      </c>
      <c r="E97" s="4">
        <v>-2927.51</v>
      </c>
      <c r="F97" s="5">
        <v>44393</v>
      </c>
      <c r="G97" s="6">
        <f ca="1">RANDBETWEEN(0,-Gastos[[#This Row],[IMPORTE]])</f>
        <v>192</v>
      </c>
      <c r="H97" s="7" t="s">
        <v>91</v>
      </c>
      <c r="I97" s="7" t="s">
        <v>140</v>
      </c>
      <c r="J97" s="34"/>
    </row>
    <row r="98" spans="2:10">
      <c r="B98" s="33">
        <v>9865</v>
      </c>
      <c r="C98" s="2">
        <v>42844</v>
      </c>
      <c r="D98" s="7">
        <v>125</v>
      </c>
      <c r="E98" s="4">
        <v>-2927.51</v>
      </c>
      <c r="F98" s="5">
        <v>44424</v>
      </c>
      <c r="G98" s="6">
        <f ca="1">RANDBETWEEN(0,-Gastos[[#This Row],[IMPORTE]])</f>
        <v>1596</v>
      </c>
      <c r="H98" s="7" t="s">
        <v>91</v>
      </c>
      <c r="I98" s="7" t="s">
        <v>141</v>
      </c>
      <c r="J98" s="34"/>
    </row>
    <row r="99" spans="2:10">
      <c r="B99" s="33">
        <v>9866</v>
      </c>
      <c r="C99" s="2">
        <v>42844</v>
      </c>
      <c r="D99" s="7">
        <v>125</v>
      </c>
      <c r="E99" s="4">
        <v>-2927.51</v>
      </c>
      <c r="F99" s="5">
        <v>44455</v>
      </c>
      <c r="G99" s="6">
        <f ca="1">RANDBETWEEN(0,-Gastos[[#This Row],[IMPORTE]])</f>
        <v>2460</v>
      </c>
      <c r="H99" s="7" t="s">
        <v>91</v>
      </c>
      <c r="I99" s="7" t="s">
        <v>142</v>
      </c>
      <c r="J99" s="34"/>
    </row>
    <row r="100" spans="2:10">
      <c r="B100" s="33">
        <v>9867</v>
      </c>
      <c r="C100" s="2">
        <v>42844</v>
      </c>
      <c r="D100" s="7">
        <v>125</v>
      </c>
      <c r="E100" s="4">
        <v>-2927.51</v>
      </c>
      <c r="F100" s="5">
        <v>44485</v>
      </c>
      <c r="G100" s="6">
        <f ca="1">RANDBETWEEN(0,-Gastos[[#This Row],[IMPORTE]])</f>
        <v>331</v>
      </c>
      <c r="H100" s="7" t="s">
        <v>91</v>
      </c>
      <c r="I100" s="7" t="s">
        <v>143</v>
      </c>
      <c r="J100" s="34"/>
    </row>
    <row r="101" spans="2:10">
      <c r="B101" s="33">
        <v>9868</v>
      </c>
      <c r="C101" s="2">
        <v>42844</v>
      </c>
      <c r="D101" s="7">
        <v>125</v>
      </c>
      <c r="E101" s="4">
        <v>-2927.51</v>
      </c>
      <c r="F101" s="5">
        <v>44516</v>
      </c>
      <c r="G101" s="6">
        <f ca="1">RANDBETWEEN(0,-Gastos[[#This Row],[IMPORTE]])</f>
        <v>2373</v>
      </c>
      <c r="H101" s="7" t="s">
        <v>91</v>
      </c>
      <c r="I101" s="7" t="s">
        <v>144</v>
      </c>
      <c r="J101" s="34"/>
    </row>
    <row r="102" spans="2:10">
      <c r="B102" s="33">
        <v>9869</v>
      </c>
      <c r="C102" s="2">
        <v>42844</v>
      </c>
      <c r="D102" s="7">
        <v>125</v>
      </c>
      <c r="E102" s="4">
        <v>-2927.51</v>
      </c>
      <c r="F102" s="5">
        <v>44546</v>
      </c>
      <c r="G102" s="6">
        <f ca="1">RANDBETWEEN(0,-Gastos[[#This Row],[IMPORTE]])</f>
        <v>704</v>
      </c>
      <c r="H102" s="7" t="s">
        <v>91</v>
      </c>
      <c r="I102" s="7" t="s">
        <v>145</v>
      </c>
      <c r="J102" s="34"/>
    </row>
    <row r="103" spans="2:10">
      <c r="B103" s="33">
        <v>9870</v>
      </c>
      <c r="C103" s="2">
        <v>42844</v>
      </c>
      <c r="D103" s="7">
        <v>125</v>
      </c>
      <c r="E103" s="4">
        <v>-2927.51</v>
      </c>
      <c r="F103" s="5">
        <v>44577</v>
      </c>
      <c r="G103" s="6">
        <f ca="1">RANDBETWEEN(0,-Gastos[[#This Row],[IMPORTE]])</f>
        <v>1573</v>
      </c>
      <c r="H103" s="7" t="s">
        <v>91</v>
      </c>
      <c r="I103" s="7" t="s">
        <v>146</v>
      </c>
      <c r="J103" s="34"/>
    </row>
    <row r="104" spans="2:10">
      <c r="B104" s="33">
        <v>9871</v>
      </c>
      <c r="C104" s="2">
        <v>42844</v>
      </c>
      <c r="D104" s="7">
        <v>125</v>
      </c>
      <c r="E104" s="4">
        <v>-2927.51</v>
      </c>
      <c r="F104" s="5">
        <v>44608</v>
      </c>
      <c r="G104" s="6">
        <f ca="1">RANDBETWEEN(0,-Gastos[[#This Row],[IMPORTE]])</f>
        <v>1210</v>
      </c>
      <c r="H104" s="7" t="s">
        <v>91</v>
      </c>
      <c r="I104" s="7" t="s">
        <v>147</v>
      </c>
      <c r="J104" s="34"/>
    </row>
    <row r="105" spans="2:10">
      <c r="B105" s="33">
        <v>9872</v>
      </c>
      <c r="C105" s="2">
        <v>42844</v>
      </c>
      <c r="D105" s="7">
        <v>125</v>
      </c>
      <c r="E105" s="4">
        <v>-2927.51</v>
      </c>
      <c r="F105" s="5">
        <v>44636</v>
      </c>
      <c r="G105" s="6">
        <f ca="1">RANDBETWEEN(0,-Gastos[[#This Row],[IMPORTE]])</f>
        <v>125</v>
      </c>
      <c r="H105" s="7" t="s">
        <v>91</v>
      </c>
      <c r="I105" s="7" t="s">
        <v>148</v>
      </c>
      <c r="J105" s="34"/>
    </row>
  </sheetData>
  <mergeCells count="1">
    <mergeCell ref="C2:J3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glutinador"/>
  <dimension ref="A1:I601"/>
  <sheetViews>
    <sheetView showZeros="0" tabSelected="1" workbookViewId="0">
      <selection activeCell="A602" sqref="A602"/>
    </sheetView>
  </sheetViews>
  <sheetFormatPr baseColWidth="10" defaultColWidth="11" defaultRowHeight="15.75"/>
  <cols>
    <col min="1" max="1" width="8.375" style="35" bestFit="1" customWidth="1"/>
    <col min="2" max="2" width="10.375" style="35" bestFit="1" customWidth="1"/>
    <col min="3" max="3" width="9.375" style="35" bestFit="1" customWidth="1"/>
    <col min="4" max="4" width="11.375" style="35" bestFit="1" customWidth="1"/>
    <col min="5" max="5" width="10.375" style="35" bestFit="1" customWidth="1"/>
    <col min="6" max="6" width="13.75" style="35" bestFit="1" customWidth="1"/>
    <col min="7" max="7" width="36.25" style="35" bestFit="1" customWidth="1"/>
    <col min="8" max="8" width="30.625" style="35" bestFit="1" customWidth="1"/>
    <col min="9" max="9" width="11.5" style="35" bestFit="1" customWidth="1"/>
    <col min="10" max="16384" width="11" style="35"/>
  </cols>
  <sheetData>
    <row r="1" spans="1:9">
      <c r="A1" s="35" t="s">
        <v>0</v>
      </c>
      <c r="B1" s="35" t="s">
        <v>1</v>
      </c>
      <c r="C1" s="35" t="s">
        <v>2</v>
      </c>
      <c r="D1" s="35" t="s">
        <v>3</v>
      </c>
      <c r="E1" s="35" t="s">
        <v>4</v>
      </c>
      <c r="F1" s="35" t="s">
        <v>5</v>
      </c>
      <c r="G1" s="35" t="s">
        <v>6</v>
      </c>
      <c r="H1" s="35" t="s">
        <v>7</v>
      </c>
      <c r="I1" s="35" t="s">
        <v>8</v>
      </c>
    </row>
    <row r="2" spans="1:9">
      <c r="A2" s="38" t="s">
        <v>355</v>
      </c>
      <c r="B2" s="39" t="str">
        <f>IFERROR(VLOOKUP(9427,Gastos[],2,FALSE),"BORRADO")</f>
        <v>BORRADO</v>
      </c>
      <c r="C2" s="40" t="str">
        <f>IFERROR(VLOOKUP(9427,Gastos[],3,FALSE),"BORRADO")</f>
        <v>BORRADO</v>
      </c>
      <c r="D2" s="41" t="str">
        <f>IFERROR(VLOOKUP(9427,Gastos[],4,FALSE),"BORRADO")</f>
        <v>BORRADO</v>
      </c>
      <c r="E2" s="42" t="str">
        <f>IFERROR(VLOOKUP(9427,Gastos[],5,FALSE),"BORRADO")</f>
        <v>BORRADO</v>
      </c>
      <c r="F2" s="41" t="str">
        <f>IFERROR(VLOOKUP(9427,Gastos[],6,FALSE),"BORRADO")</f>
        <v>BORRADO</v>
      </c>
      <c r="G2" s="40" t="str">
        <f>IFERROR(VLOOKUP(9427,Gastos[],7,FALSE),"BORRADO")</f>
        <v>BORRADO</v>
      </c>
      <c r="H2" s="40" t="str">
        <f>IFERROR(VLOOKUP(9427,Gastos[],8,FALSE),"BORRADO")</f>
        <v>BORRADO</v>
      </c>
      <c r="I2" s="40" t="str">
        <f>IFERROR(VLOOKUP(9427,Gastos[],9,FALSE),"BORRADO")</f>
        <v>BORRADO</v>
      </c>
    </row>
    <row r="3" spans="1:9">
      <c r="A3" s="38" t="s">
        <v>355</v>
      </c>
      <c r="B3" s="39" t="str">
        <f>IFERROR(VLOOKUP(9428,Gastos[],2,FALSE),"BORRADO")</f>
        <v>BORRADO</v>
      </c>
      <c r="C3" s="40" t="str">
        <f>IFERROR(VLOOKUP(9428,Gastos[],3,FALSE),"BORRADO")</f>
        <v>BORRADO</v>
      </c>
      <c r="D3" s="41" t="str">
        <f>IFERROR(VLOOKUP(9428,Gastos[],4,FALSE),"BORRADO")</f>
        <v>BORRADO</v>
      </c>
      <c r="E3" s="42" t="str">
        <f>IFERROR(VLOOKUP(9428,Gastos[],5,FALSE),"BORRADO")</f>
        <v>BORRADO</v>
      </c>
      <c r="F3" s="41" t="str">
        <f>IFERROR(VLOOKUP(9428,Gastos[],6,FALSE),"BORRADO")</f>
        <v>BORRADO</v>
      </c>
      <c r="G3" s="40" t="str">
        <f>IFERROR(VLOOKUP(9428,Gastos[],7,FALSE),"BORRADO")</f>
        <v>BORRADO</v>
      </c>
      <c r="H3" s="40" t="str">
        <f>IFERROR(VLOOKUP(9428,Gastos[],8,FALSE),"BORRADO")</f>
        <v>BORRADO</v>
      </c>
      <c r="I3" s="40" t="str">
        <f>IFERROR(VLOOKUP(9428,Gastos[],9,FALSE),"BORRADO")</f>
        <v>BORRADO</v>
      </c>
    </row>
    <row r="4" spans="1:9">
      <c r="A4" s="38" t="s">
        <v>355</v>
      </c>
      <c r="B4" s="39" t="str">
        <f>IFERROR(VLOOKUP(9429,Gastos[],2,FALSE),"BORRADO")</f>
        <v>BORRADO</v>
      </c>
      <c r="C4" s="40" t="str">
        <f>IFERROR(VLOOKUP(9429,Gastos[],3,FALSE),"BORRADO")</f>
        <v>BORRADO</v>
      </c>
      <c r="D4" s="41" t="str">
        <f>IFERROR(VLOOKUP(9429,Gastos[],4,FALSE),"BORRADO")</f>
        <v>BORRADO</v>
      </c>
      <c r="E4" s="42" t="str">
        <f>IFERROR(VLOOKUP(9429,Gastos[],5,FALSE),"BORRADO")</f>
        <v>BORRADO</v>
      </c>
      <c r="F4" s="41" t="str">
        <f>IFERROR(VLOOKUP(9429,Gastos[],6,FALSE),"BORRADO")</f>
        <v>BORRADO</v>
      </c>
      <c r="G4" s="40" t="str">
        <f>IFERROR(VLOOKUP(9429,Gastos[],7,FALSE),"BORRADO")</f>
        <v>BORRADO</v>
      </c>
      <c r="H4" s="40" t="str">
        <f>IFERROR(VLOOKUP(9429,Gastos[],8,FALSE),"BORRADO")</f>
        <v>BORRADO</v>
      </c>
      <c r="I4" s="40" t="str">
        <f>IFERROR(VLOOKUP(9429,Gastos[],9,FALSE),"BORRADO")</f>
        <v>BORRADO</v>
      </c>
    </row>
    <row r="5" spans="1:9">
      <c r="A5" s="38" t="s">
        <v>355</v>
      </c>
      <c r="B5" s="39" t="str">
        <f>IFERROR(VLOOKUP(9430,Gastos[],2,FALSE),"BORRADO")</f>
        <v>BORRADO</v>
      </c>
      <c r="C5" s="40" t="str">
        <f>IFERROR(VLOOKUP(9430,Gastos[],3,FALSE),"BORRADO")</f>
        <v>BORRADO</v>
      </c>
      <c r="D5" s="41" t="str">
        <f>IFERROR(VLOOKUP(9430,Gastos[],4,FALSE),"BORRADO")</f>
        <v>BORRADO</v>
      </c>
      <c r="E5" s="42" t="str">
        <f>IFERROR(VLOOKUP(9430,Gastos[],5,FALSE),"BORRADO")</f>
        <v>BORRADO</v>
      </c>
      <c r="F5" s="41" t="str">
        <f>IFERROR(VLOOKUP(9430,Gastos[],6,FALSE),"BORRADO")</f>
        <v>BORRADO</v>
      </c>
      <c r="G5" s="40" t="str">
        <f>IFERROR(VLOOKUP(9430,Gastos[],7,FALSE),"BORRADO")</f>
        <v>BORRADO</v>
      </c>
      <c r="H5" s="40" t="str">
        <f>IFERROR(VLOOKUP(9430,Gastos[],8,FALSE),"BORRADO")</f>
        <v>BORRADO</v>
      </c>
      <c r="I5" s="40" t="str">
        <f>IFERROR(VLOOKUP(9430,Gastos[],9,FALSE),"BORRADO")</f>
        <v>BORRADO</v>
      </c>
    </row>
    <row r="6" spans="1:9">
      <c r="A6" s="38" t="s">
        <v>355</v>
      </c>
      <c r="B6" s="39" t="str">
        <f>IFERROR(VLOOKUP(9431,Gastos[],2,FALSE),"BORRADO")</f>
        <v>BORRADO</v>
      </c>
      <c r="C6" s="40" t="str">
        <f>IFERROR(VLOOKUP(9431,Gastos[],3,FALSE),"BORRADO")</f>
        <v>BORRADO</v>
      </c>
      <c r="D6" s="41" t="str">
        <f>IFERROR(VLOOKUP(9431,Gastos[],4,FALSE),"BORRADO")</f>
        <v>BORRADO</v>
      </c>
      <c r="E6" s="42" t="str">
        <f>IFERROR(VLOOKUP(9431,Gastos[],5,FALSE),"BORRADO")</f>
        <v>BORRADO</v>
      </c>
      <c r="F6" s="41" t="str">
        <f>IFERROR(VLOOKUP(9431,Gastos[],6,FALSE),"BORRADO")</f>
        <v>BORRADO</v>
      </c>
      <c r="G6" s="40" t="str">
        <f>IFERROR(VLOOKUP(9431,Gastos[],7,FALSE),"BORRADO")</f>
        <v>BORRADO</v>
      </c>
      <c r="H6" s="40" t="str">
        <f>IFERROR(VLOOKUP(9431,Gastos[],8,FALSE),"BORRADO")</f>
        <v>BORRADO</v>
      </c>
      <c r="I6" s="40" t="str">
        <f>IFERROR(VLOOKUP(9431,Gastos[],9,FALSE),"BORRADO")</f>
        <v>BORRADO</v>
      </c>
    </row>
    <row r="7" spans="1:9">
      <c r="A7" s="38" t="s">
        <v>354</v>
      </c>
      <c r="B7" s="39">
        <f>IFERROR(VLOOKUP(3140,Depositos[],2,FALSE),"BORRADO")</f>
        <v>42962</v>
      </c>
      <c r="C7" s="40" t="str">
        <f>IFERROR(VLOOKUP(3140,Depositos[],3,FALSE),"BORRADO")</f>
        <v>RR CHEQUE</v>
      </c>
      <c r="D7" s="41">
        <f>IFERROR(VLOOKUP(3140,Depositos[],4,FALSE),"BORRADO")</f>
        <v>33064</v>
      </c>
      <c r="E7" s="42">
        <f>IFERROR(VLOOKUP(3140,Depositos[],5,FALSE),"BORRADO")</f>
        <v>42963</v>
      </c>
      <c r="F7" s="41">
        <f ca="1">IFERROR(VLOOKUP(3140,Depositos[],6,FALSE),"BORRADO")</f>
        <v>29541</v>
      </c>
      <c r="G7" s="40" t="str">
        <f>IFERROR(VLOOKUP(3140,Depositos[],7,FALSE),"BORRADO")</f>
        <v>MACRO 62423104</v>
      </c>
      <c r="H7" s="40">
        <f>IFERROR(VLOOKUP(3140,Depositos[],8,FALSE),"BORRADO")</f>
        <v>0</v>
      </c>
      <c r="I7" s="40">
        <f>IFERROR(VLOOKUP(3140,Depositos[],9,FALSE),"BORRADO")</f>
        <v>0</v>
      </c>
    </row>
    <row r="8" spans="1:9">
      <c r="A8" s="38" t="s">
        <v>354</v>
      </c>
      <c r="B8" s="39">
        <f>IFERROR(VLOOKUP(3141,Depositos[],2,FALSE),"BORRADO")</f>
        <v>42962</v>
      </c>
      <c r="C8" s="40" t="str">
        <f>IFERROR(VLOOKUP(3141,Depositos[],3,FALSE),"BORRADO")</f>
        <v>RR CHEQUE</v>
      </c>
      <c r="D8" s="41">
        <f>IFERROR(VLOOKUP(3141,Depositos[],4,FALSE),"BORRADO")</f>
        <v>132128.79999999999</v>
      </c>
      <c r="E8" s="42">
        <f>IFERROR(VLOOKUP(3141,Depositos[],5,FALSE),"BORRADO")</f>
        <v>42963</v>
      </c>
      <c r="F8" s="41">
        <f ca="1">IFERROR(VLOOKUP(3141,Depositos[],6,FALSE),"BORRADO")</f>
        <v>102288</v>
      </c>
      <c r="G8" s="40" t="str">
        <f>IFERROR(VLOOKUP(3141,Depositos[],7,FALSE),"BORRADO")</f>
        <v>MACRO 69860605</v>
      </c>
      <c r="H8" s="40">
        <f>IFERROR(VLOOKUP(3141,Depositos[],8,FALSE),"BORRADO")</f>
        <v>0</v>
      </c>
      <c r="I8" s="40">
        <f>IFERROR(VLOOKUP(3141,Depositos[],9,FALSE),"BORRADO")</f>
        <v>0</v>
      </c>
    </row>
    <row r="9" spans="1:9">
      <c r="A9" s="38" t="s">
        <v>353</v>
      </c>
      <c r="B9" s="39">
        <f>IFERROR(VLOOKUP(2094,Chequeras[],2,FALSE),"BORRADO")</f>
        <v>42962</v>
      </c>
      <c r="C9" s="40" t="str">
        <f>IFERROR(VLOOKUP(2094,Chequeras[],3,FALSE),"BORRADO")</f>
        <v>01656326</v>
      </c>
      <c r="D9" s="41">
        <f>IFERROR(VLOOKUP(2094,Chequeras[],4,FALSE),"BORRADO")</f>
        <v>-20773</v>
      </c>
      <c r="E9" s="42">
        <f>IFERROR(VLOOKUP(2094,Chequeras[],5,FALSE),"BORRADO")</f>
        <v>42978</v>
      </c>
      <c r="F9" s="41">
        <f ca="1">IFERROR(VLOOKUP(2094,Chequeras[],6,FALSE),"BORRADO")</f>
        <v>10672</v>
      </c>
      <c r="G9" s="40" t="str">
        <f>IFERROR(VLOOKUP(2094,Chequeras[],7,FALSE),"BORRADO")</f>
        <v>Nova Informática</v>
      </c>
      <c r="H9" s="40" t="str">
        <f>IFERROR(VLOOKUP(2094,Chequeras[],8,FALSE),"BORRADO")</f>
        <v>RR</v>
      </c>
      <c r="I9" s="40">
        <f>IFERROR(VLOOKUP(2094,Chequeras[],9,FALSE),"BORRADO")</f>
        <v>93</v>
      </c>
    </row>
    <row r="10" spans="1:9">
      <c r="A10" s="38" t="s">
        <v>355</v>
      </c>
      <c r="B10" s="39" t="str">
        <f>IFERROR(VLOOKUP(9602,Gastos[],2,FALSE),"BORRADO")</f>
        <v>BORRADO</v>
      </c>
      <c r="C10" s="40" t="str">
        <f>IFERROR(VLOOKUP(9602,Gastos[],3,FALSE),"BORRADO")</f>
        <v>BORRADO</v>
      </c>
      <c r="D10" s="41" t="str">
        <f>IFERROR(VLOOKUP(9602,Gastos[],4,FALSE),"BORRADO")</f>
        <v>BORRADO</v>
      </c>
      <c r="E10" s="42" t="str">
        <f>IFERROR(VLOOKUP(9602,Gastos[],5,FALSE),"BORRADO")</f>
        <v>BORRADO</v>
      </c>
      <c r="F10" s="41" t="str">
        <f>IFERROR(VLOOKUP(9602,Gastos[],6,FALSE),"BORRADO")</f>
        <v>BORRADO</v>
      </c>
      <c r="G10" s="40" t="str">
        <f>IFERROR(VLOOKUP(9602,Gastos[],7,FALSE),"BORRADO")</f>
        <v>BORRADO</v>
      </c>
      <c r="H10" s="40" t="str">
        <f>IFERROR(VLOOKUP(9602,Gastos[],8,FALSE),"BORRADO")</f>
        <v>BORRADO</v>
      </c>
      <c r="I10" s="40" t="str">
        <f>IFERROR(VLOOKUP(9602,Gastos[],9,FALSE),"BORRADO")</f>
        <v>BORRADO</v>
      </c>
    </row>
    <row r="11" spans="1:9">
      <c r="A11" s="38" t="s">
        <v>355</v>
      </c>
      <c r="B11" s="39">
        <f>IFERROR(VLOOKUP(9815,Gastos[],2,FALSE),"BORRADO")</f>
        <v>42962</v>
      </c>
      <c r="C11" s="40">
        <f>IFERROR(VLOOKUP(9815,Gastos[],3,FALSE),"BORRADO")</f>
        <v>125</v>
      </c>
      <c r="D11" s="41">
        <f>IFERROR(VLOOKUP(9815,Gastos[],4,FALSE),"BORRADO")</f>
        <v>-177212.77</v>
      </c>
      <c r="E11" s="42">
        <f>IFERROR(VLOOKUP(9815,Gastos[],5,FALSE),"BORRADO")</f>
        <v>43024</v>
      </c>
      <c r="F11" s="41">
        <f ca="1">IFERROR(VLOOKUP(9815,Gastos[],6,FALSE),"BORRADO")</f>
        <v>72413</v>
      </c>
      <c r="G11" s="40" t="str">
        <f>IFERROR(VLOOKUP(9815,Gastos[],7,FALSE),"BORRADO")</f>
        <v>J899999 GCIAS/2016</v>
      </c>
      <c r="H11" s="40" t="str">
        <f>IFERROR(VLOOKUP(9815,Gastos[],8,FALSE),"BORRADO")</f>
        <v>Cuota 02 de 06</v>
      </c>
      <c r="I11" s="40">
        <f>IFERROR(VLOOKUP(9815,Gastos[],9,FALSE),"BORRADO")</f>
        <v>0</v>
      </c>
    </row>
    <row r="12" spans="1:9">
      <c r="A12" s="38" t="s">
        <v>355</v>
      </c>
      <c r="B12" s="39">
        <f>IFERROR(VLOOKUP(9817,Gastos[],2,FALSE),"BORRADO")</f>
        <v>42962</v>
      </c>
      <c r="C12" s="40">
        <f>IFERROR(VLOOKUP(9817,Gastos[],3,FALSE),"BORRADO")</f>
        <v>125</v>
      </c>
      <c r="D12" s="41">
        <f>IFERROR(VLOOKUP(9817,Gastos[],4,FALSE),"BORRADO")</f>
        <v>-177212.77</v>
      </c>
      <c r="E12" s="42">
        <f>IFERROR(VLOOKUP(9817,Gastos[],5,FALSE),"BORRADO")</f>
        <v>43055</v>
      </c>
      <c r="F12" s="41">
        <f ca="1">IFERROR(VLOOKUP(9817,Gastos[],6,FALSE),"BORRADO")</f>
        <v>166560</v>
      </c>
      <c r="G12" s="40" t="str">
        <f>IFERROR(VLOOKUP(9817,Gastos[],7,FALSE),"BORRADO")</f>
        <v>J899999 GCIAS/2016</v>
      </c>
      <c r="H12" s="40" t="str">
        <f>IFERROR(VLOOKUP(9817,Gastos[],8,FALSE),"BORRADO")</f>
        <v>Cuota 03 de 06</v>
      </c>
      <c r="I12" s="40">
        <f>IFERROR(VLOOKUP(9817,Gastos[],9,FALSE),"BORRADO")</f>
        <v>0</v>
      </c>
    </row>
    <row r="13" spans="1:9">
      <c r="A13" s="38" t="s">
        <v>355</v>
      </c>
      <c r="B13" s="39">
        <f>IFERROR(VLOOKUP(9819,Gastos[],2,FALSE),"BORRADO")</f>
        <v>42962</v>
      </c>
      <c r="C13" s="40">
        <f>IFERROR(VLOOKUP(9819,Gastos[],3,FALSE),"BORRADO")</f>
        <v>125</v>
      </c>
      <c r="D13" s="41">
        <f>IFERROR(VLOOKUP(9819,Gastos[],4,FALSE),"BORRADO")</f>
        <v>-177212.77</v>
      </c>
      <c r="E13" s="42">
        <f>IFERROR(VLOOKUP(9819,Gastos[],5,FALSE),"BORRADO")</f>
        <v>43085</v>
      </c>
      <c r="F13" s="41">
        <f ca="1">IFERROR(VLOOKUP(9819,Gastos[],6,FALSE),"BORRADO")</f>
        <v>159381</v>
      </c>
      <c r="G13" s="40" t="str">
        <f>IFERROR(VLOOKUP(9819,Gastos[],7,FALSE),"BORRADO")</f>
        <v>J899999 GCIAS/2016</v>
      </c>
      <c r="H13" s="40" t="str">
        <f>IFERROR(VLOOKUP(9819,Gastos[],8,FALSE),"BORRADO")</f>
        <v>Cuota 04 de 06</v>
      </c>
      <c r="I13" s="40">
        <f>IFERROR(VLOOKUP(9819,Gastos[],9,FALSE),"BORRADO")</f>
        <v>0</v>
      </c>
    </row>
    <row r="14" spans="1:9">
      <c r="A14" s="38" t="s">
        <v>355</v>
      </c>
      <c r="B14" s="39">
        <f>IFERROR(VLOOKUP(9821,Gastos[],2,FALSE),"BORRADO")</f>
        <v>42962</v>
      </c>
      <c r="C14" s="40">
        <f>IFERROR(VLOOKUP(9821,Gastos[],3,FALSE),"BORRADO")</f>
        <v>125</v>
      </c>
      <c r="D14" s="41">
        <f>IFERROR(VLOOKUP(9821,Gastos[],4,FALSE),"BORRADO")</f>
        <v>-177212.77</v>
      </c>
      <c r="E14" s="42">
        <f>IFERROR(VLOOKUP(9821,Gastos[],5,FALSE),"BORRADO")</f>
        <v>43116</v>
      </c>
      <c r="F14" s="41">
        <f ca="1">IFERROR(VLOOKUP(9821,Gastos[],6,FALSE),"BORRADO")</f>
        <v>157223</v>
      </c>
      <c r="G14" s="40" t="str">
        <f>IFERROR(VLOOKUP(9821,Gastos[],7,FALSE),"BORRADO")</f>
        <v>J899999 GCIAS/2016</v>
      </c>
      <c r="H14" s="40" t="str">
        <f>IFERROR(VLOOKUP(9821,Gastos[],8,FALSE),"BORRADO")</f>
        <v>Cuota 05 de 06</v>
      </c>
      <c r="I14" s="40">
        <f>IFERROR(VLOOKUP(9821,Gastos[],9,FALSE),"BORRADO")</f>
        <v>0</v>
      </c>
    </row>
    <row r="15" spans="1:9">
      <c r="A15" s="38" t="s">
        <v>355</v>
      </c>
      <c r="B15" s="39">
        <f>IFERROR(VLOOKUP(9823,Gastos[],2,FALSE),"BORRADO")</f>
        <v>42962</v>
      </c>
      <c r="C15" s="40">
        <f>IFERROR(VLOOKUP(9823,Gastos[],3,FALSE),"BORRADO")</f>
        <v>125</v>
      </c>
      <c r="D15" s="41">
        <f>IFERROR(VLOOKUP(9823,Gastos[],4,FALSE),"BORRADO")</f>
        <v>-177212.77</v>
      </c>
      <c r="E15" s="42">
        <f>IFERROR(VLOOKUP(9823,Gastos[],5,FALSE),"BORRADO")</f>
        <v>43147</v>
      </c>
      <c r="F15" s="41">
        <f ca="1">IFERROR(VLOOKUP(9823,Gastos[],6,FALSE),"BORRADO")</f>
        <v>79169</v>
      </c>
      <c r="G15" s="40" t="str">
        <f>IFERROR(VLOOKUP(9823,Gastos[],7,FALSE),"BORRADO")</f>
        <v>J899999 GCIAS/2016</v>
      </c>
      <c r="H15" s="40" t="str">
        <f>IFERROR(VLOOKUP(9823,Gastos[],8,FALSE),"BORRADO")</f>
        <v>Cuota 06 de 06</v>
      </c>
      <c r="I15" s="40">
        <f>IFERROR(VLOOKUP(9823,Gastos[],9,FALSE),"BORRADO")</f>
        <v>0</v>
      </c>
    </row>
    <row r="16" spans="1:9">
      <c r="A16" s="38" t="s">
        <v>353</v>
      </c>
      <c r="B16" s="39" t="str">
        <f>IFERROR(VLOOKUP(2071,Chequeras[],2,FALSE),"BORRADO")</f>
        <v>BORRADO</v>
      </c>
      <c r="C16" s="40" t="str">
        <f>IFERROR(VLOOKUP(2071,Chequeras[],3,FALSE),"BORRADO")</f>
        <v>BORRADO</v>
      </c>
      <c r="D16" s="41" t="str">
        <f>IFERROR(VLOOKUP(2071,Chequeras[],4,FALSE),"BORRADO")</f>
        <v>BORRADO</v>
      </c>
      <c r="E16" s="42" t="str">
        <f>IFERROR(VLOOKUP(2071,Chequeras[],5,FALSE),"BORRADO")</f>
        <v>BORRADO</v>
      </c>
      <c r="F16" s="41" t="str">
        <f>IFERROR(VLOOKUP(2071,Chequeras[],6,FALSE),"BORRADO")</f>
        <v>BORRADO</v>
      </c>
      <c r="G16" s="40" t="str">
        <f>IFERROR(VLOOKUP(2071,Chequeras[],7,FALSE),"BORRADO")</f>
        <v>BORRADO</v>
      </c>
      <c r="H16" s="40" t="str">
        <f>IFERROR(VLOOKUP(2071,Chequeras[],8,FALSE),"BORRADO")</f>
        <v>BORRADO</v>
      </c>
      <c r="I16" s="40" t="str">
        <f>IFERROR(VLOOKUP(2071,Chequeras[],9,FALSE),"BORRADO")</f>
        <v>BORRADO</v>
      </c>
    </row>
    <row r="17" spans="1:9">
      <c r="A17" s="38" t="s">
        <v>353</v>
      </c>
      <c r="B17" s="39">
        <f>IFERROR(VLOOKUP(2113,Chequeras[],2,FALSE),"BORRADO")</f>
        <v>42963</v>
      </c>
      <c r="C17" s="40" t="str">
        <f>IFERROR(VLOOKUP(2113,Chequeras[],3,FALSE),"BORRADO")</f>
        <v>01670178</v>
      </c>
      <c r="D17" s="41">
        <f>IFERROR(VLOOKUP(2113,Chequeras[],4,FALSE),"BORRADO")</f>
        <v>0</v>
      </c>
      <c r="E17" s="42">
        <f>IFERROR(VLOOKUP(2113,Chequeras[],5,FALSE),"BORRADO")</f>
        <v>42963</v>
      </c>
      <c r="F17" s="41">
        <f ca="1">IFERROR(VLOOKUP(2113,Chequeras[],6,FALSE),"BORRADO")</f>
        <v>0</v>
      </c>
      <c r="G17" s="40" t="str">
        <f>IFERROR(VLOOKUP(2113,Chequeras[],7,FALSE),"BORRADO")</f>
        <v>Anulado</v>
      </c>
      <c r="H17" s="40" t="str">
        <f>IFERROR(VLOOKUP(2113,Chequeras[],8,FALSE),"BORRADO")</f>
        <v>lh</v>
      </c>
      <c r="I17" s="40">
        <f>IFERROR(VLOOKUP(2113,Chequeras[],9,FALSE),"BORRADO")</f>
        <v>94</v>
      </c>
    </row>
    <row r="18" spans="1:9">
      <c r="A18" s="38" t="s">
        <v>353</v>
      </c>
      <c r="B18" s="39">
        <f>IFERROR(VLOOKUP(2114,Chequeras[],2,FALSE),"BORRADO")</f>
        <v>42963</v>
      </c>
      <c r="C18" s="40" t="str">
        <f>IFERROR(VLOOKUP(2114,Chequeras[],3,FALSE),"BORRADO")</f>
        <v>01670179</v>
      </c>
      <c r="D18" s="41">
        <f>IFERROR(VLOOKUP(2114,Chequeras[],4,FALSE),"BORRADO")</f>
        <v>0</v>
      </c>
      <c r="E18" s="42">
        <f>IFERROR(VLOOKUP(2114,Chequeras[],5,FALSE),"BORRADO")</f>
        <v>42963</v>
      </c>
      <c r="F18" s="41">
        <f ca="1">IFERROR(VLOOKUP(2114,Chequeras[],6,FALSE),"BORRADO")</f>
        <v>0</v>
      </c>
      <c r="G18" s="40" t="str">
        <f>IFERROR(VLOOKUP(2114,Chequeras[],7,FALSE),"BORRADO")</f>
        <v>Anulado</v>
      </c>
      <c r="H18" s="40" t="str">
        <f>IFERROR(VLOOKUP(2114,Chequeras[],8,FALSE),"BORRADO")</f>
        <v>lh</v>
      </c>
      <c r="I18" s="40">
        <f>IFERROR(VLOOKUP(2114,Chequeras[],9,FALSE),"BORRADO")</f>
        <v>94</v>
      </c>
    </row>
    <row r="19" spans="1:9">
      <c r="A19" s="38" t="s">
        <v>354</v>
      </c>
      <c r="B19" s="39">
        <f>IFERROR(VLOOKUP(3139,Depositos[],2,FALSE),"BORRADO")</f>
        <v>42963</v>
      </c>
      <c r="C19" s="40" t="str">
        <f>IFERROR(VLOOKUP(3139,Depositos[],3,FALSE),"BORRADO")</f>
        <v>SUELDO</v>
      </c>
      <c r="D19" s="41">
        <f>IFERROR(VLOOKUP(3139,Depositos[],4,FALSE),"BORRADO")</f>
        <v>2890</v>
      </c>
      <c r="E19" s="42">
        <f>IFERROR(VLOOKUP(3139,Depositos[],5,FALSE),"BORRADO")</f>
        <v>42963</v>
      </c>
      <c r="F19" s="41">
        <f ca="1">IFERROR(VLOOKUP(3139,Depositos[],6,FALSE),"BORRADO")</f>
        <v>1253</v>
      </c>
      <c r="G19" s="40" t="str">
        <f>IFERROR(VLOOKUP(3139,Depositos[],7,FALSE),"BORRADO")</f>
        <v>RETROACT. DIC/16</v>
      </c>
      <c r="H19" s="40">
        <f>IFERROR(VLOOKUP(3139,Depositos[],8,FALSE),"BORRADO")</f>
        <v>0</v>
      </c>
      <c r="I19" s="40">
        <f>IFERROR(VLOOKUP(3139,Depositos[],9,FALSE),"BORRADO")</f>
        <v>0</v>
      </c>
    </row>
    <row r="20" spans="1:9">
      <c r="A20" s="38" t="s">
        <v>355</v>
      </c>
      <c r="B20" s="39" t="str">
        <f>IFERROR(VLOOKUP(9432,Gastos[],2,FALSE),"BORRADO")</f>
        <v>BORRADO</v>
      </c>
      <c r="C20" s="40" t="str">
        <f>IFERROR(VLOOKUP(9432,Gastos[],3,FALSE),"BORRADO")</f>
        <v>BORRADO</v>
      </c>
      <c r="D20" s="41" t="str">
        <f>IFERROR(VLOOKUP(9432,Gastos[],4,FALSE),"BORRADO")</f>
        <v>BORRADO</v>
      </c>
      <c r="E20" s="42" t="str">
        <f>IFERROR(VLOOKUP(9432,Gastos[],5,FALSE),"BORRADO")</f>
        <v>BORRADO</v>
      </c>
      <c r="F20" s="41" t="str">
        <f>IFERROR(VLOOKUP(9432,Gastos[],6,FALSE),"BORRADO")</f>
        <v>BORRADO</v>
      </c>
      <c r="G20" s="40" t="str">
        <f>IFERROR(VLOOKUP(9432,Gastos[],7,FALSE),"BORRADO")</f>
        <v>BORRADO</v>
      </c>
      <c r="H20" s="40" t="str">
        <f>IFERROR(VLOOKUP(9432,Gastos[],8,FALSE),"BORRADO")</f>
        <v>BORRADO</v>
      </c>
      <c r="I20" s="40" t="str">
        <f>IFERROR(VLOOKUP(9432,Gastos[],9,FALSE),"BORRADO")</f>
        <v>BORRADO</v>
      </c>
    </row>
    <row r="21" spans="1:9">
      <c r="A21" s="38" t="s">
        <v>355</v>
      </c>
      <c r="B21" s="39" t="str">
        <f>IFERROR(VLOOKUP(9433,Gastos[],2,FALSE),"BORRADO")</f>
        <v>BORRADO</v>
      </c>
      <c r="C21" s="40" t="str">
        <f>IFERROR(VLOOKUP(9433,Gastos[],3,FALSE),"BORRADO")</f>
        <v>BORRADO</v>
      </c>
      <c r="D21" s="41" t="str">
        <f>IFERROR(VLOOKUP(9433,Gastos[],4,FALSE),"BORRADO")</f>
        <v>BORRADO</v>
      </c>
      <c r="E21" s="42" t="str">
        <f>IFERROR(VLOOKUP(9433,Gastos[],5,FALSE),"BORRADO")</f>
        <v>BORRADO</v>
      </c>
      <c r="F21" s="41" t="str">
        <f>IFERROR(VLOOKUP(9433,Gastos[],6,FALSE),"BORRADO")</f>
        <v>BORRADO</v>
      </c>
      <c r="G21" s="40" t="str">
        <f>IFERROR(VLOOKUP(9433,Gastos[],7,FALSE),"BORRADO")</f>
        <v>BORRADO</v>
      </c>
      <c r="H21" s="40" t="str">
        <f>IFERROR(VLOOKUP(9433,Gastos[],8,FALSE),"BORRADO")</f>
        <v>BORRADO</v>
      </c>
      <c r="I21" s="40" t="str">
        <f>IFERROR(VLOOKUP(9433,Gastos[],9,FALSE),"BORRADO")</f>
        <v>BORRADO</v>
      </c>
    </row>
    <row r="22" spans="1:9">
      <c r="A22" s="38" t="s">
        <v>355</v>
      </c>
      <c r="B22" s="39" t="str">
        <f>IFERROR(VLOOKUP(9434,Gastos[],2,FALSE),"BORRADO")</f>
        <v>BORRADO</v>
      </c>
      <c r="C22" s="40" t="str">
        <f>IFERROR(VLOOKUP(9434,Gastos[],3,FALSE),"BORRADO")</f>
        <v>BORRADO</v>
      </c>
      <c r="D22" s="41" t="str">
        <f>IFERROR(VLOOKUP(9434,Gastos[],4,FALSE),"BORRADO")</f>
        <v>BORRADO</v>
      </c>
      <c r="E22" s="42" t="str">
        <f>IFERROR(VLOOKUP(9434,Gastos[],5,FALSE),"BORRADO")</f>
        <v>BORRADO</v>
      </c>
      <c r="F22" s="41" t="str">
        <f>IFERROR(VLOOKUP(9434,Gastos[],6,FALSE),"BORRADO")</f>
        <v>BORRADO</v>
      </c>
      <c r="G22" s="40" t="str">
        <f>IFERROR(VLOOKUP(9434,Gastos[],7,FALSE),"BORRADO")</f>
        <v>BORRADO</v>
      </c>
      <c r="H22" s="40" t="str">
        <f>IFERROR(VLOOKUP(9434,Gastos[],8,FALSE),"BORRADO")</f>
        <v>BORRADO</v>
      </c>
      <c r="I22" s="40" t="str">
        <f>IFERROR(VLOOKUP(9434,Gastos[],9,FALSE),"BORRADO")</f>
        <v>BORRADO</v>
      </c>
    </row>
    <row r="23" spans="1:9">
      <c r="A23" s="38" t="s">
        <v>355</v>
      </c>
      <c r="B23" s="39" t="str">
        <f>IFERROR(VLOOKUP(9435,Gastos[],2,FALSE),"BORRADO")</f>
        <v>BORRADO</v>
      </c>
      <c r="C23" s="40" t="str">
        <f>IFERROR(VLOOKUP(9435,Gastos[],3,FALSE),"BORRADO")</f>
        <v>BORRADO</v>
      </c>
      <c r="D23" s="41" t="str">
        <f>IFERROR(VLOOKUP(9435,Gastos[],4,FALSE),"BORRADO")</f>
        <v>BORRADO</v>
      </c>
      <c r="E23" s="42" t="str">
        <f>IFERROR(VLOOKUP(9435,Gastos[],5,FALSE),"BORRADO")</f>
        <v>BORRADO</v>
      </c>
      <c r="F23" s="41" t="str">
        <f>IFERROR(VLOOKUP(9435,Gastos[],6,FALSE),"BORRADO")</f>
        <v>BORRADO</v>
      </c>
      <c r="G23" s="40" t="str">
        <f>IFERROR(VLOOKUP(9435,Gastos[],7,FALSE),"BORRADO")</f>
        <v>BORRADO</v>
      </c>
      <c r="H23" s="40" t="str">
        <f>IFERROR(VLOOKUP(9435,Gastos[],8,FALSE),"BORRADO")</f>
        <v>BORRADO</v>
      </c>
      <c r="I23" s="40" t="str">
        <f>IFERROR(VLOOKUP(9435,Gastos[],9,FALSE),"BORRADO")</f>
        <v>BORRADO</v>
      </c>
    </row>
    <row r="24" spans="1:9">
      <c r="A24" s="38" t="s">
        <v>355</v>
      </c>
      <c r="B24" s="39" t="str">
        <f>IFERROR(VLOOKUP(9436,Gastos[],2,FALSE),"BORRADO")</f>
        <v>BORRADO</v>
      </c>
      <c r="C24" s="40" t="str">
        <f>IFERROR(VLOOKUP(9436,Gastos[],3,FALSE),"BORRADO")</f>
        <v>BORRADO</v>
      </c>
      <c r="D24" s="41" t="str">
        <f>IFERROR(VLOOKUP(9436,Gastos[],4,FALSE),"BORRADO")</f>
        <v>BORRADO</v>
      </c>
      <c r="E24" s="42" t="str">
        <f>IFERROR(VLOOKUP(9436,Gastos[],5,FALSE),"BORRADO")</f>
        <v>BORRADO</v>
      </c>
      <c r="F24" s="41" t="str">
        <f>IFERROR(VLOOKUP(9436,Gastos[],6,FALSE),"BORRADO")</f>
        <v>BORRADO</v>
      </c>
      <c r="G24" s="40" t="str">
        <f>IFERROR(VLOOKUP(9436,Gastos[],7,FALSE),"BORRADO")</f>
        <v>BORRADO</v>
      </c>
      <c r="H24" s="40" t="str">
        <f>IFERROR(VLOOKUP(9436,Gastos[],8,FALSE),"BORRADO")</f>
        <v>BORRADO</v>
      </c>
      <c r="I24" s="40" t="str">
        <f>IFERROR(VLOOKUP(9436,Gastos[],9,FALSE),"BORRADO")</f>
        <v>BORRADO</v>
      </c>
    </row>
    <row r="25" spans="1:9">
      <c r="A25" s="38" t="s">
        <v>355</v>
      </c>
      <c r="B25" s="39" t="str">
        <f>IFERROR(VLOOKUP(9437,Gastos[],2,FALSE),"BORRADO")</f>
        <v>BORRADO</v>
      </c>
      <c r="C25" s="40" t="str">
        <f>IFERROR(VLOOKUP(9437,Gastos[],3,FALSE),"BORRADO")</f>
        <v>BORRADO</v>
      </c>
      <c r="D25" s="41" t="str">
        <f>IFERROR(VLOOKUP(9437,Gastos[],4,FALSE),"BORRADO")</f>
        <v>BORRADO</v>
      </c>
      <c r="E25" s="42" t="str">
        <f>IFERROR(VLOOKUP(9437,Gastos[],5,FALSE),"BORRADO")</f>
        <v>BORRADO</v>
      </c>
      <c r="F25" s="41" t="str">
        <f>IFERROR(VLOOKUP(9437,Gastos[],6,FALSE),"BORRADO")</f>
        <v>BORRADO</v>
      </c>
      <c r="G25" s="40" t="str">
        <f>IFERROR(VLOOKUP(9437,Gastos[],7,FALSE),"BORRADO")</f>
        <v>BORRADO</v>
      </c>
      <c r="H25" s="40" t="str">
        <f>IFERROR(VLOOKUP(9437,Gastos[],8,FALSE),"BORRADO")</f>
        <v>BORRADO</v>
      </c>
      <c r="I25" s="40" t="str">
        <f>IFERROR(VLOOKUP(9437,Gastos[],9,FALSE),"BORRADO")</f>
        <v>BORRADO</v>
      </c>
    </row>
    <row r="26" spans="1:9">
      <c r="A26" s="38" t="s">
        <v>355</v>
      </c>
      <c r="B26" s="39" t="str">
        <f>IFERROR(VLOOKUP(9438,Gastos[],2,FALSE),"BORRADO")</f>
        <v>BORRADO</v>
      </c>
      <c r="C26" s="40" t="str">
        <f>IFERROR(VLOOKUP(9438,Gastos[],3,FALSE),"BORRADO")</f>
        <v>BORRADO</v>
      </c>
      <c r="D26" s="41" t="str">
        <f>IFERROR(VLOOKUP(9438,Gastos[],4,FALSE),"BORRADO")</f>
        <v>BORRADO</v>
      </c>
      <c r="E26" s="42" t="str">
        <f>IFERROR(VLOOKUP(9438,Gastos[],5,FALSE),"BORRADO")</f>
        <v>BORRADO</v>
      </c>
      <c r="F26" s="41" t="str">
        <f>IFERROR(VLOOKUP(9438,Gastos[],6,FALSE),"BORRADO")</f>
        <v>BORRADO</v>
      </c>
      <c r="G26" s="40" t="str">
        <f>IFERROR(VLOOKUP(9438,Gastos[],7,FALSE),"BORRADO")</f>
        <v>BORRADO</v>
      </c>
      <c r="H26" s="40" t="str">
        <f>IFERROR(VLOOKUP(9438,Gastos[],8,FALSE),"BORRADO")</f>
        <v>BORRADO</v>
      </c>
      <c r="I26" s="40" t="str">
        <f>IFERROR(VLOOKUP(9438,Gastos[],9,FALSE),"BORRADO")</f>
        <v>BORRADO</v>
      </c>
    </row>
    <row r="27" spans="1:9">
      <c r="A27" s="38" t="s">
        <v>355</v>
      </c>
      <c r="B27" s="39" t="str">
        <f>IFERROR(VLOOKUP(9439,Gastos[],2,FALSE),"BORRADO")</f>
        <v>BORRADO</v>
      </c>
      <c r="C27" s="40" t="str">
        <f>IFERROR(VLOOKUP(9439,Gastos[],3,FALSE),"BORRADO")</f>
        <v>BORRADO</v>
      </c>
      <c r="D27" s="41" t="str">
        <f>IFERROR(VLOOKUP(9439,Gastos[],4,FALSE),"BORRADO")</f>
        <v>BORRADO</v>
      </c>
      <c r="E27" s="42" t="str">
        <f>IFERROR(VLOOKUP(9439,Gastos[],5,FALSE),"BORRADO")</f>
        <v>BORRADO</v>
      </c>
      <c r="F27" s="41" t="str">
        <f>IFERROR(VLOOKUP(9439,Gastos[],6,FALSE),"BORRADO")</f>
        <v>BORRADO</v>
      </c>
      <c r="G27" s="40" t="str">
        <f>IFERROR(VLOOKUP(9439,Gastos[],7,FALSE),"BORRADO")</f>
        <v>BORRADO</v>
      </c>
      <c r="H27" s="40" t="str">
        <f>IFERROR(VLOOKUP(9439,Gastos[],8,FALSE),"BORRADO")</f>
        <v>BORRADO</v>
      </c>
      <c r="I27" s="40" t="str">
        <f>IFERROR(VLOOKUP(9439,Gastos[],9,FALSE),"BORRADO")</f>
        <v>BORRADO</v>
      </c>
    </row>
    <row r="28" spans="1:9">
      <c r="A28" s="38" t="s">
        <v>355</v>
      </c>
      <c r="B28" s="39" t="str">
        <f>IFERROR(VLOOKUP(9440,Gastos[],2,FALSE),"BORRADO")</f>
        <v>BORRADO</v>
      </c>
      <c r="C28" s="40" t="str">
        <f>IFERROR(VLOOKUP(9440,Gastos[],3,FALSE),"BORRADO")</f>
        <v>BORRADO</v>
      </c>
      <c r="D28" s="41" t="str">
        <f>IFERROR(VLOOKUP(9440,Gastos[],4,FALSE),"BORRADO")</f>
        <v>BORRADO</v>
      </c>
      <c r="E28" s="42" t="str">
        <f>IFERROR(VLOOKUP(9440,Gastos[],5,FALSE),"BORRADO")</f>
        <v>BORRADO</v>
      </c>
      <c r="F28" s="41" t="str">
        <f>IFERROR(VLOOKUP(9440,Gastos[],6,FALSE),"BORRADO")</f>
        <v>BORRADO</v>
      </c>
      <c r="G28" s="40" t="str">
        <f>IFERROR(VLOOKUP(9440,Gastos[],7,FALSE),"BORRADO")</f>
        <v>BORRADO</v>
      </c>
      <c r="H28" s="40" t="str">
        <f>IFERROR(VLOOKUP(9440,Gastos[],8,FALSE),"BORRADO")</f>
        <v>BORRADO</v>
      </c>
      <c r="I28" s="40" t="str">
        <f>IFERROR(VLOOKUP(9440,Gastos[],9,FALSE),"BORRADO")</f>
        <v>BORRADO</v>
      </c>
    </row>
    <row r="29" spans="1:9">
      <c r="A29" s="38" t="s">
        <v>355</v>
      </c>
      <c r="B29" s="39" t="str">
        <f>IFERROR(VLOOKUP(9441,Gastos[],2,FALSE),"BORRADO")</f>
        <v>BORRADO</v>
      </c>
      <c r="C29" s="40" t="str">
        <f>IFERROR(VLOOKUP(9441,Gastos[],3,FALSE),"BORRADO")</f>
        <v>BORRADO</v>
      </c>
      <c r="D29" s="41" t="str">
        <f>IFERROR(VLOOKUP(9441,Gastos[],4,FALSE),"BORRADO")</f>
        <v>BORRADO</v>
      </c>
      <c r="E29" s="42" t="str">
        <f>IFERROR(VLOOKUP(9441,Gastos[],5,FALSE),"BORRADO")</f>
        <v>BORRADO</v>
      </c>
      <c r="F29" s="41" t="str">
        <f>IFERROR(VLOOKUP(9441,Gastos[],6,FALSE),"BORRADO")</f>
        <v>BORRADO</v>
      </c>
      <c r="G29" s="40" t="str">
        <f>IFERROR(VLOOKUP(9441,Gastos[],7,FALSE),"BORRADO")</f>
        <v>BORRADO</v>
      </c>
      <c r="H29" s="40" t="str">
        <f>IFERROR(VLOOKUP(9441,Gastos[],8,FALSE),"BORRADO")</f>
        <v>BORRADO</v>
      </c>
      <c r="I29" s="40" t="str">
        <f>IFERROR(VLOOKUP(9441,Gastos[],9,FALSE),"BORRADO")</f>
        <v>BORRADO</v>
      </c>
    </row>
    <row r="30" spans="1:9">
      <c r="A30" s="38" t="s">
        <v>355</v>
      </c>
      <c r="B30" s="39" t="str">
        <f>IFERROR(VLOOKUP(9442,Gastos[],2,FALSE),"BORRADO")</f>
        <v>BORRADO</v>
      </c>
      <c r="C30" s="40" t="str">
        <f>IFERROR(VLOOKUP(9442,Gastos[],3,FALSE),"BORRADO")</f>
        <v>BORRADO</v>
      </c>
      <c r="D30" s="41" t="str">
        <f>IFERROR(VLOOKUP(9442,Gastos[],4,FALSE),"BORRADO")</f>
        <v>BORRADO</v>
      </c>
      <c r="E30" s="42" t="str">
        <f>IFERROR(VLOOKUP(9442,Gastos[],5,FALSE),"BORRADO")</f>
        <v>BORRADO</v>
      </c>
      <c r="F30" s="41" t="str">
        <f>IFERROR(VLOOKUP(9442,Gastos[],6,FALSE),"BORRADO")</f>
        <v>BORRADO</v>
      </c>
      <c r="G30" s="40" t="str">
        <f>IFERROR(VLOOKUP(9442,Gastos[],7,FALSE),"BORRADO")</f>
        <v>BORRADO</v>
      </c>
      <c r="H30" s="40" t="str">
        <f>IFERROR(VLOOKUP(9442,Gastos[],8,FALSE),"BORRADO")</f>
        <v>BORRADO</v>
      </c>
      <c r="I30" s="40" t="str">
        <f>IFERROR(VLOOKUP(9442,Gastos[],9,FALSE),"BORRADO")</f>
        <v>BORRADO</v>
      </c>
    </row>
    <row r="31" spans="1:9">
      <c r="A31" s="38" t="s">
        <v>355</v>
      </c>
      <c r="B31" s="39" t="str">
        <f>IFERROR(VLOOKUP(9443,Gastos[],2,FALSE),"BORRADO")</f>
        <v>BORRADO</v>
      </c>
      <c r="C31" s="40" t="str">
        <f>IFERROR(VLOOKUP(9443,Gastos[],3,FALSE),"BORRADO")</f>
        <v>BORRADO</v>
      </c>
      <c r="D31" s="41" t="str">
        <f>IFERROR(VLOOKUP(9443,Gastos[],4,FALSE),"BORRADO")</f>
        <v>BORRADO</v>
      </c>
      <c r="E31" s="42" t="str">
        <f>IFERROR(VLOOKUP(9443,Gastos[],5,FALSE),"BORRADO")</f>
        <v>BORRADO</v>
      </c>
      <c r="F31" s="41" t="str">
        <f>IFERROR(VLOOKUP(9443,Gastos[],6,FALSE),"BORRADO")</f>
        <v>BORRADO</v>
      </c>
      <c r="G31" s="40" t="str">
        <f>IFERROR(VLOOKUP(9443,Gastos[],7,FALSE),"BORRADO")</f>
        <v>BORRADO</v>
      </c>
      <c r="H31" s="40" t="str">
        <f>IFERROR(VLOOKUP(9443,Gastos[],8,FALSE),"BORRADO")</f>
        <v>BORRADO</v>
      </c>
      <c r="I31" s="40" t="str">
        <f>IFERROR(VLOOKUP(9443,Gastos[],9,FALSE),"BORRADO")</f>
        <v>BORRADO</v>
      </c>
    </row>
    <row r="32" spans="1:9">
      <c r="A32" s="38" t="s">
        <v>355</v>
      </c>
      <c r="B32" s="39" t="str">
        <f>IFERROR(VLOOKUP(9444,Gastos[],2,FALSE),"BORRADO")</f>
        <v>BORRADO</v>
      </c>
      <c r="C32" s="40" t="str">
        <f>IFERROR(VLOOKUP(9444,Gastos[],3,FALSE),"BORRADO")</f>
        <v>BORRADO</v>
      </c>
      <c r="D32" s="41" t="str">
        <f>IFERROR(VLOOKUP(9444,Gastos[],4,FALSE),"BORRADO")</f>
        <v>BORRADO</v>
      </c>
      <c r="E32" s="42" t="str">
        <f>IFERROR(VLOOKUP(9444,Gastos[],5,FALSE),"BORRADO")</f>
        <v>BORRADO</v>
      </c>
      <c r="F32" s="41" t="str">
        <f>IFERROR(VLOOKUP(9444,Gastos[],6,FALSE),"BORRADO")</f>
        <v>BORRADO</v>
      </c>
      <c r="G32" s="40" t="str">
        <f>IFERROR(VLOOKUP(9444,Gastos[],7,FALSE),"BORRADO")</f>
        <v>BORRADO</v>
      </c>
      <c r="H32" s="40" t="str">
        <f>IFERROR(VLOOKUP(9444,Gastos[],8,FALSE),"BORRADO")</f>
        <v>BORRADO</v>
      </c>
      <c r="I32" s="40" t="str">
        <f>IFERROR(VLOOKUP(9444,Gastos[],9,FALSE),"BORRADO")</f>
        <v>BORRADO</v>
      </c>
    </row>
    <row r="33" spans="1:9">
      <c r="A33" s="38" t="s">
        <v>353</v>
      </c>
      <c r="B33" s="39">
        <f>IFERROR(VLOOKUP(2097,Chequeras[],2,FALSE),"BORRADO")</f>
        <v>42963</v>
      </c>
      <c r="C33" s="40" t="str">
        <f>IFERROR(VLOOKUP(2097,Chequeras[],3,FALSE),"BORRADO")</f>
        <v>01656329</v>
      </c>
      <c r="D33" s="41">
        <f>IFERROR(VLOOKUP(2097,Chequeras[],4,FALSE),"BORRADO")</f>
        <v>-45000</v>
      </c>
      <c r="E33" s="42">
        <f>IFERROR(VLOOKUP(2097,Chequeras[],5,FALSE),"BORRADO")</f>
        <v>42964</v>
      </c>
      <c r="F33" s="41">
        <f ca="1">IFERROR(VLOOKUP(2097,Chequeras[],6,FALSE),"BORRADO")</f>
        <v>43677</v>
      </c>
      <c r="G33" s="40" t="str">
        <f>IFERROR(VLOOKUP(2097,Chequeras[],7,FALSE),"BORRADO")</f>
        <v>Rr</v>
      </c>
      <c r="H33" s="40" t="str">
        <f>IFERROR(VLOOKUP(2097,Chequeras[],8,FALSE),"BORRADO")</f>
        <v>RR</v>
      </c>
      <c r="I33" s="40">
        <f>IFERROR(VLOOKUP(2097,Chequeras[],9,FALSE),"BORRADO")</f>
        <v>93</v>
      </c>
    </row>
    <row r="34" spans="1:9">
      <c r="A34" s="38" t="s">
        <v>353</v>
      </c>
      <c r="B34" s="39">
        <f>IFERROR(VLOOKUP(2098,Chequeras[],2,FALSE),"BORRADO")</f>
        <v>42963</v>
      </c>
      <c r="C34" s="40" t="str">
        <f>IFERROR(VLOOKUP(2098,Chequeras[],3,FALSE),"BORRADO")</f>
        <v>01656330</v>
      </c>
      <c r="D34" s="41">
        <f>IFERROR(VLOOKUP(2098,Chequeras[],4,FALSE),"BORRADO")</f>
        <v>-45000</v>
      </c>
      <c r="E34" s="42">
        <f>IFERROR(VLOOKUP(2098,Chequeras[],5,FALSE),"BORRADO")</f>
        <v>42964</v>
      </c>
      <c r="F34" s="41">
        <f ca="1">IFERROR(VLOOKUP(2098,Chequeras[],6,FALSE),"BORRADO")</f>
        <v>42670</v>
      </c>
      <c r="G34" s="40" t="str">
        <f>IFERROR(VLOOKUP(2098,Chequeras[],7,FALSE),"BORRADO")</f>
        <v>Rr</v>
      </c>
      <c r="H34" s="40" t="str">
        <f>IFERROR(VLOOKUP(2098,Chequeras[],8,FALSE),"BORRADO")</f>
        <v>RR</v>
      </c>
      <c r="I34" s="40">
        <f>IFERROR(VLOOKUP(2098,Chequeras[],9,FALSE),"BORRADO")</f>
        <v>93</v>
      </c>
    </row>
    <row r="35" spans="1:9">
      <c r="A35" s="38" t="s">
        <v>353</v>
      </c>
      <c r="B35" s="39" t="str">
        <f>IFERROR(VLOOKUP(2067,Chequeras[],2,FALSE),"BORRADO")</f>
        <v>BORRADO</v>
      </c>
      <c r="C35" s="40" t="str">
        <f>IFERROR(VLOOKUP(2067,Chequeras[],3,FALSE),"BORRADO")</f>
        <v>BORRADO</v>
      </c>
      <c r="D35" s="41" t="str">
        <f>IFERROR(VLOOKUP(2067,Chequeras[],4,FALSE),"BORRADO")</f>
        <v>BORRADO</v>
      </c>
      <c r="E35" s="42" t="str">
        <f>IFERROR(VLOOKUP(2067,Chequeras[],5,FALSE),"BORRADO")</f>
        <v>BORRADO</v>
      </c>
      <c r="F35" s="41" t="str">
        <f>IFERROR(VLOOKUP(2067,Chequeras[],6,FALSE),"BORRADO")</f>
        <v>BORRADO</v>
      </c>
      <c r="G35" s="40" t="str">
        <f>IFERROR(VLOOKUP(2067,Chequeras[],7,FALSE),"BORRADO")</f>
        <v>BORRADO</v>
      </c>
      <c r="H35" s="40" t="str">
        <f>IFERROR(VLOOKUP(2067,Chequeras[],8,FALSE),"BORRADO")</f>
        <v>BORRADO</v>
      </c>
      <c r="I35" s="40" t="str">
        <f>IFERROR(VLOOKUP(2067,Chequeras[],9,FALSE),"BORRADO")</f>
        <v>BORRADO</v>
      </c>
    </row>
    <row r="36" spans="1:9">
      <c r="A36" s="38" t="s">
        <v>353</v>
      </c>
      <c r="B36" s="39">
        <f>IFERROR(VLOOKUP(2115,Chequeras[],2,FALSE),"BORRADO")</f>
        <v>42963</v>
      </c>
      <c r="C36" s="40" t="str">
        <f>IFERROR(VLOOKUP(2115,Chequeras[],3,FALSE),"BORRADO")</f>
        <v>01670180</v>
      </c>
      <c r="D36" s="41">
        <f>IFERROR(VLOOKUP(2115,Chequeras[],4,FALSE),"BORRADO")</f>
        <v>-6524.13</v>
      </c>
      <c r="E36" s="42">
        <f>IFERROR(VLOOKUP(2115,Chequeras[],5,FALSE),"BORRADO")</f>
        <v>42972</v>
      </c>
      <c r="F36" s="41">
        <f ca="1">IFERROR(VLOOKUP(2115,Chequeras[],6,FALSE),"BORRADO")</f>
        <v>395</v>
      </c>
      <c r="G36" s="40" t="str">
        <f>IFERROR(VLOOKUP(2115,Chequeras[],7,FALSE),"BORRADO")</f>
        <v>Concesionaria Aut.Pes. 17/08/17</v>
      </c>
      <c r="H36" s="40" t="str">
        <f>IFERROR(VLOOKUP(2115,Chequeras[],8,FALSE),"BORRADO")</f>
        <v>lh</v>
      </c>
      <c r="I36" s="40">
        <f>IFERROR(VLOOKUP(2115,Chequeras[],9,FALSE),"BORRADO")</f>
        <v>94</v>
      </c>
    </row>
    <row r="37" spans="1:9">
      <c r="A37" s="38" t="s">
        <v>353</v>
      </c>
      <c r="B37" s="39" t="str">
        <f>IFERROR(VLOOKUP(2068,Chequeras[],2,FALSE),"BORRADO")</f>
        <v>BORRADO</v>
      </c>
      <c r="C37" s="40" t="str">
        <f>IFERROR(VLOOKUP(2068,Chequeras[],3,FALSE),"BORRADO")</f>
        <v>BORRADO</v>
      </c>
      <c r="D37" s="41" t="str">
        <f>IFERROR(VLOOKUP(2068,Chequeras[],4,FALSE),"BORRADO")</f>
        <v>BORRADO</v>
      </c>
      <c r="E37" s="42" t="str">
        <f>IFERROR(VLOOKUP(2068,Chequeras[],5,FALSE),"BORRADO")</f>
        <v>BORRADO</v>
      </c>
      <c r="F37" s="41" t="str">
        <f>IFERROR(VLOOKUP(2068,Chequeras[],6,FALSE),"BORRADO")</f>
        <v>BORRADO</v>
      </c>
      <c r="G37" s="40" t="str">
        <f>IFERROR(VLOOKUP(2068,Chequeras[],7,FALSE),"BORRADO")</f>
        <v>BORRADO</v>
      </c>
      <c r="H37" s="40" t="str">
        <f>IFERROR(VLOOKUP(2068,Chequeras[],8,FALSE),"BORRADO")</f>
        <v>BORRADO</v>
      </c>
      <c r="I37" s="40" t="str">
        <f>IFERROR(VLOOKUP(2068,Chequeras[],9,FALSE),"BORRADO")</f>
        <v>BORRADO</v>
      </c>
    </row>
    <row r="38" spans="1:9">
      <c r="A38" s="38" t="s">
        <v>353</v>
      </c>
      <c r="B38" s="39" t="str">
        <f>IFERROR(VLOOKUP(2070,Chequeras[],2,FALSE),"BORRADO")</f>
        <v>BORRADO</v>
      </c>
      <c r="C38" s="40" t="str">
        <f>IFERROR(VLOOKUP(2070,Chequeras[],3,FALSE),"BORRADO")</f>
        <v>BORRADO</v>
      </c>
      <c r="D38" s="41" t="str">
        <f>IFERROR(VLOOKUP(2070,Chequeras[],4,FALSE),"BORRADO")</f>
        <v>BORRADO</v>
      </c>
      <c r="E38" s="42" t="str">
        <f>IFERROR(VLOOKUP(2070,Chequeras[],5,FALSE),"BORRADO")</f>
        <v>BORRADO</v>
      </c>
      <c r="F38" s="41" t="str">
        <f>IFERROR(VLOOKUP(2070,Chequeras[],6,FALSE),"BORRADO")</f>
        <v>BORRADO</v>
      </c>
      <c r="G38" s="40" t="str">
        <f>IFERROR(VLOOKUP(2070,Chequeras[],7,FALSE),"BORRADO")</f>
        <v>BORRADO</v>
      </c>
      <c r="H38" s="40" t="str">
        <f>IFERROR(VLOOKUP(2070,Chequeras[],8,FALSE),"BORRADO")</f>
        <v>BORRADO</v>
      </c>
      <c r="I38" s="40" t="str">
        <f>IFERROR(VLOOKUP(2070,Chequeras[],9,FALSE),"BORRADO")</f>
        <v>BORRADO</v>
      </c>
    </row>
    <row r="39" spans="1:9">
      <c r="A39" s="38" t="s">
        <v>353</v>
      </c>
      <c r="B39" s="39" t="str">
        <f>IFERROR(VLOOKUP(2072,Chequeras[],2,FALSE),"BORRADO")</f>
        <v>BORRADO</v>
      </c>
      <c r="C39" s="40" t="str">
        <f>IFERROR(VLOOKUP(2072,Chequeras[],3,FALSE),"BORRADO")</f>
        <v>BORRADO</v>
      </c>
      <c r="D39" s="41" t="str">
        <f>IFERROR(VLOOKUP(2072,Chequeras[],4,FALSE),"BORRADO")</f>
        <v>BORRADO</v>
      </c>
      <c r="E39" s="42" t="str">
        <f>IFERROR(VLOOKUP(2072,Chequeras[],5,FALSE),"BORRADO")</f>
        <v>BORRADO</v>
      </c>
      <c r="F39" s="41" t="str">
        <f>IFERROR(VLOOKUP(2072,Chequeras[],6,FALSE),"BORRADO")</f>
        <v>BORRADO</v>
      </c>
      <c r="G39" s="40" t="str">
        <f>IFERROR(VLOOKUP(2072,Chequeras[],7,FALSE),"BORRADO")</f>
        <v>BORRADO</v>
      </c>
      <c r="H39" s="40" t="str">
        <f>IFERROR(VLOOKUP(2072,Chequeras[],8,FALSE),"BORRADO")</f>
        <v>BORRADO</v>
      </c>
      <c r="I39" s="40" t="str">
        <f>IFERROR(VLOOKUP(2072,Chequeras[],9,FALSE),"BORRADO")</f>
        <v>BORRADO</v>
      </c>
    </row>
    <row r="40" spans="1:9">
      <c r="A40" s="38" t="s">
        <v>353</v>
      </c>
      <c r="B40" s="39">
        <f>IFERROR(VLOOKUP(2116,Chequeras[],2,FALSE),"BORRADO")</f>
        <v>42963</v>
      </c>
      <c r="C40" s="40" t="str">
        <f>IFERROR(VLOOKUP(2116,Chequeras[],3,FALSE),"BORRADO")</f>
        <v>01670181</v>
      </c>
      <c r="D40" s="41">
        <f>IFERROR(VLOOKUP(2116,Chequeras[],4,FALSE),"BORRADO")</f>
        <v>-22903.97</v>
      </c>
      <c r="E40" s="42">
        <f>IFERROR(VLOOKUP(2116,Chequeras[],5,FALSE),"BORRADO")</f>
        <v>42997</v>
      </c>
      <c r="F40" s="41">
        <f ca="1">IFERROR(VLOOKUP(2116,Chequeras[],6,FALSE),"BORRADO")</f>
        <v>6610</v>
      </c>
      <c r="G40" s="40" t="str">
        <f>IFERROR(VLOOKUP(2116,Chequeras[],7,FALSE),"BORRADO")</f>
        <v>Lucas Mico 17/09/2017</v>
      </c>
      <c r="H40" s="40" t="str">
        <f>IFERROR(VLOOKUP(2116,Chequeras[],8,FALSE),"BORRADO")</f>
        <v>lh</v>
      </c>
      <c r="I40" s="40">
        <f>IFERROR(VLOOKUP(2116,Chequeras[],9,FALSE),"BORRADO")</f>
        <v>94</v>
      </c>
    </row>
    <row r="41" spans="1:9">
      <c r="A41" s="38" t="s">
        <v>353</v>
      </c>
      <c r="B41" s="39" t="str">
        <f>IFERROR(VLOOKUP(2069,Chequeras[],2,FALSE),"BORRADO")</f>
        <v>BORRADO</v>
      </c>
      <c r="C41" s="40" t="str">
        <f>IFERROR(VLOOKUP(2069,Chequeras[],3,FALSE),"BORRADO")</f>
        <v>BORRADO</v>
      </c>
      <c r="D41" s="41" t="str">
        <f>IFERROR(VLOOKUP(2069,Chequeras[],4,FALSE),"BORRADO")</f>
        <v>BORRADO</v>
      </c>
      <c r="E41" s="42" t="str">
        <f>IFERROR(VLOOKUP(2069,Chequeras[],5,FALSE),"BORRADO")</f>
        <v>BORRADO</v>
      </c>
      <c r="F41" s="41" t="str">
        <f>IFERROR(VLOOKUP(2069,Chequeras[],6,FALSE),"BORRADO")</f>
        <v>BORRADO</v>
      </c>
      <c r="G41" s="40" t="str">
        <f>IFERROR(VLOOKUP(2069,Chequeras[],7,FALSE),"BORRADO")</f>
        <v>BORRADO</v>
      </c>
      <c r="H41" s="40" t="str">
        <f>IFERROR(VLOOKUP(2069,Chequeras[],8,FALSE),"BORRADO")</f>
        <v>BORRADO</v>
      </c>
      <c r="I41" s="40" t="str">
        <f>IFERROR(VLOOKUP(2069,Chequeras[],9,FALSE),"BORRADO")</f>
        <v>BORRADO</v>
      </c>
    </row>
    <row r="42" spans="1:9">
      <c r="A42" s="38" t="s">
        <v>353</v>
      </c>
      <c r="B42" s="39">
        <f>IFERROR(VLOOKUP(2111,Chequeras[],2,FALSE),"BORRADO")</f>
        <v>42963</v>
      </c>
      <c r="C42" s="40" t="str">
        <f>IFERROR(VLOOKUP(2111,Chequeras[],3,FALSE),"BORRADO")</f>
        <v>01670176</v>
      </c>
      <c r="D42" s="41">
        <f>IFERROR(VLOOKUP(2111,Chequeras[],4,FALSE),"BORRADO")</f>
        <v>-6502.51</v>
      </c>
      <c r="E42" s="42">
        <f>IFERROR(VLOOKUP(2111,Chequeras[],5,FALSE),"BORRADO")</f>
        <v>43004</v>
      </c>
      <c r="F42" s="41">
        <f ca="1">IFERROR(VLOOKUP(2111,Chequeras[],6,FALSE),"BORRADO")</f>
        <v>2033</v>
      </c>
      <c r="G42" s="40" t="str">
        <f>IFERROR(VLOOKUP(2111,Chequeras[],7,FALSE),"BORRADO")</f>
        <v>Grupo Salta SRL 25/09/2017</v>
      </c>
      <c r="H42" s="40" t="str">
        <f>IFERROR(VLOOKUP(2111,Chequeras[],8,FALSE),"BORRADO")</f>
        <v>lh</v>
      </c>
      <c r="I42" s="40">
        <f>IFERROR(VLOOKUP(2111,Chequeras[],9,FALSE),"BORRADO")</f>
        <v>94</v>
      </c>
    </row>
    <row r="43" spans="1:9">
      <c r="A43" s="38" t="s">
        <v>353</v>
      </c>
      <c r="B43" s="39">
        <f>IFERROR(VLOOKUP(2112,Chequeras[],2,FALSE),"BORRADO")</f>
        <v>42963</v>
      </c>
      <c r="C43" s="40" t="str">
        <f>IFERROR(VLOOKUP(2112,Chequeras[],3,FALSE),"BORRADO")</f>
        <v>01670177</v>
      </c>
      <c r="D43" s="41">
        <f>IFERROR(VLOOKUP(2112,Chequeras[],4,FALSE),"BORRADO")</f>
        <v>-4751.47</v>
      </c>
      <c r="E43" s="42">
        <f>IFERROR(VLOOKUP(2112,Chequeras[],5,FALSE),"BORRADO")</f>
        <v>43005</v>
      </c>
      <c r="F43" s="41">
        <f ca="1">IFERROR(VLOOKUP(2112,Chequeras[],6,FALSE),"BORRADO")</f>
        <v>2670</v>
      </c>
      <c r="G43" s="40" t="str">
        <f>IFERROR(VLOOKUP(2112,Chequeras[],7,FALSE),"BORRADO")</f>
        <v>Lucas Mico 26/09/2017</v>
      </c>
      <c r="H43" s="40" t="str">
        <f>IFERROR(VLOOKUP(2112,Chequeras[],8,FALSE),"BORRADO")</f>
        <v>lh</v>
      </c>
      <c r="I43" s="40">
        <f>IFERROR(VLOOKUP(2112,Chequeras[],9,FALSE),"BORRADO")</f>
        <v>94</v>
      </c>
    </row>
    <row r="44" spans="1:9">
      <c r="A44" s="38" t="s">
        <v>353</v>
      </c>
      <c r="B44" s="39" t="str">
        <f>IFERROR(VLOOKUP(1974,Chequeras[],2,FALSE),"BORRADO")</f>
        <v>BORRADO</v>
      </c>
      <c r="C44" s="40" t="str">
        <f>IFERROR(VLOOKUP(1974,Chequeras[],3,FALSE),"BORRADO")</f>
        <v>BORRADO</v>
      </c>
      <c r="D44" s="41" t="str">
        <f>IFERROR(VLOOKUP(1974,Chequeras[],4,FALSE),"BORRADO")</f>
        <v>BORRADO</v>
      </c>
      <c r="E44" s="42" t="str">
        <f>IFERROR(VLOOKUP(1974,Chequeras[],5,FALSE),"BORRADO")</f>
        <v>BORRADO</v>
      </c>
      <c r="F44" s="41" t="str">
        <f>IFERROR(VLOOKUP(1974,Chequeras[],6,FALSE),"BORRADO")</f>
        <v>BORRADO</v>
      </c>
      <c r="G44" s="40" t="str">
        <f>IFERROR(VLOOKUP(1974,Chequeras[],7,FALSE),"BORRADO")</f>
        <v>BORRADO</v>
      </c>
      <c r="H44" s="40" t="str">
        <f>IFERROR(VLOOKUP(1974,Chequeras[],8,FALSE),"BORRADO")</f>
        <v>BORRADO</v>
      </c>
      <c r="I44" s="40" t="str">
        <f>IFERROR(VLOOKUP(1974,Chequeras[],9,FALSE),"BORRADO")</f>
        <v>BORRADO</v>
      </c>
    </row>
    <row r="45" spans="1:9">
      <c r="A45" s="38" t="s">
        <v>355</v>
      </c>
      <c r="B45" s="39" t="str">
        <f>IFERROR(VLOOKUP(9445,Gastos[],2,FALSE),"BORRADO")</f>
        <v>BORRADO</v>
      </c>
      <c r="C45" s="40" t="str">
        <f>IFERROR(VLOOKUP(9445,Gastos[],3,FALSE),"BORRADO")</f>
        <v>BORRADO</v>
      </c>
      <c r="D45" s="41" t="str">
        <f>IFERROR(VLOOKUP(9445,Gastos[],4,FALSE),"BORRADO")</f>
        <v>BORRADO</v>
      </c>
      <c r="E45" s="42" t="str">
        <f>IFERROR(VLOOKUP(9445,Gastos[],5,FALSE),"BORRADO")</f>
        <v>BORRADO</v>
      </c>
      <c r="F45" s="41" t="str">
        <f>IFERROR(VLOOKUP(9445,Gastos[],6,FALSE),"BORRADO")</f>
        <v>BORRADO</v>
      </c>
      <c r="G45" s="40" t="str">
        <f>IFERROR(VLOOKUP(9445,Gastos[],7,FALSE),"BORRADO")</f>
        <v>BORRADO</v>
      </c>
      <c r="H45" s="40" t="str">
        <f>IFERROR(VLOOKUP(9445,Gastos[],8,FALSE),"BORRADO")</f>
        <v>BORRADO</v>
      </c>
      <c r="I45" s="40" t="str">
        <f>IFERROR(VLOOKUP(9445,Gastos[],9,FALSE),"BORRADO")</f>
        <v>BORRADO</v>
      </c>
    </row>
    <row r="46" spans="1:9">
      <c r="A46" s="38" t="s">
        <v>355</v>
      </c>
      <c r="B46" s="39" t="str">
        <f>IFERROR(VLOOKUP(9446,Gastos[],2,FALSE),"BORRADO")</f>
        <v>BORRADO</v>
      </c>
      <c r="C46" s="40" t="str">
        <f>IFERROR(VLOOKUP(9446,Gastos[],3,FALSE),"BORRADO")</f>
        <v>BORRADO</v>
      </c>
      <c r="D46" s="41" t="str">
        <f>IFERROR(VLOOKUP(9446,Gastos[],4,FALSE),"BORRADO")</f>
        <v>BORRADO</v>
      </c>
      <c r="E46" s="42" t="str">
        <f>IFERROR(VLOOKUP(9446,Gastos[],5,FALSE),"BORRADO")</f>
        <v>BORRADO</v>
      </c>
      <c r="F46" s="41" t="str">
        <f>IFERROR(VLOOKUP(9446,Gastos[],6,FALSE),"BORRADO")</f>
        <v>BORRADO</v>
      </c>
      <c r="G46" s="40" t="str">
        <f>IFERROR(VLOOKUP(9446,Gastos[],7,FALSE),"BORRADO")</f>
        <v>BORRADO</v>
      </c>
      <c r="H46" s="40" t="str">
        <f>IFERROR(VLOOKUP(9446,Gastos[],8,FALSE),"BORRADO")</f>
        <v>BORRADO</v>
      </c>
      <c r="I46" s="40" t="str">
        <f>IFERROR(VLOOKUP(9446,Gastos[],9,FALSE),"BORRADO")</f>
        <v>BORRADO</v>
      </c>
    </row>
    <row r="47" spans="1:9">
      <c r="A47" s="38" t="s">
        <v>355</v>
      </c>
      <c r="B47" s="39" t="str">
        <f>IFERROR(VLOOKUP(9447,Gastos[],2,FALSE),"BORRADO")</f>
        <v>BORRADO</v>
      </c>
      <c r="C47" s="40" t="str">
        <f>IFERROR(VLOOKUP(9447,Gastos[],3,FALSE),"BORRADO")</f>
        <v>BORRADO</v>
      </c>
      <c r="D47" s="41" t="str">
        <f>IFERROR(VLOOKUP(9447,Gastos[],4,FALSE),"BORRADO")</f>
        <v>BORRADO</v>
      </c>
      <c r="E47" s="42" t="str">
        <f>IFERROR(VLOOKUP(9447,Gastos[],5,FALSE),"BORRADO")</f>
        <v>BORRADO</v>
      </c>
      <c r="F47" s="41" t="str">
        <f>IFERROR(VLOOKUP(9447,Gastos[],6,FALSE),"BORRADO")</f>
        <v>BORRADO</v>
      </c>
      <c r="G47" s="40" t="str">
        <f>IFERROR(VLOOKUP(9447,Gastos[],7,FALSE),"BORRADO")</f>
        <v>BORRADO</v>
      </c>
      <c r="H47" s="40" t="str">
        <f>IFERROR(VLOOKUP(9447,Gastos[],8,FALSE),"BORRADO")</f>
        <v>BORRADO</v>
      </c>
      <c r="I47" s="40" t="str">
        <f>IFERROR(VLOOKUP(9447,Gastos[],9,FALSE),"BORRADO")</f>
        <v>BORRADO</v>
      </c>
    </row>
    <row r="48" spans="1:9">
      <c r="A48" s="38" t="s">
        <v>355</v>
      </c>
      <c r="B48" s="39" t="str">
        <f>IFERROR(VLOOKUP(9448,Gastos[],2,FALSE),"BORRADO")</f>
        <v>BORRADO</v>
      </c>
      <c r="C48" s="40" t="str">
        <f>IFERROR(VLOOKUP(9448,Gastos[],3,FALSE),"BORRADO")</f>
        <v>BORRADO</v>
      </c>
      <c r="D48" s="41" t="str">
        <f>IFERROR(VLOOKUP(9448,Gastos[],4,FALSE),"BORRADO")</f>
        <v>BORRADO</v>
      </c>
      <c r="E48" s="42" t="str">
        <f>IFERROR(VLOOKUP(9448,Gastos[],5,FALSE),"BORRADO")</f>
        <v>BORRADO</v>
      </c>
      <c r="F48" s="41" t="str">
        <f>IFERROR(VLOOKUP(9448,Gastos[],6,FALSE),"BORRADO")</f>
        <v>BORRADO</v>
      </c>
      <c r="G48" s="40" t="str">
        <f>IFERROR(VLOOKUP(9448,Gastos[],7,FALSE),"BORRADO")</f>
        <v>BORRADO</v>
      </c>
      <c r="H48" s="40" t="str">
        <f>IFERROR(VLOOKUP(9448,Gastos[],8,FALSE),"BORRADO")</f>
        <v>BORRADO</v>
      </c>
      <c r="I48" s="40" t="str">
        <f>IFERROR(VLOOKUP(9448,Gastos[],9,FALSE),"BORRADO")</f>
        <v>BORRADO</v>
      </c>
    </row>
    <row r="49" spans="1:9">
      <c r="A49" s="38" t="s">
        <v>353</v>
      </c>
      <c r="B49" s="39">
        <f>IFERROR(VLOOKUP(2117,Chequeras[],2,FALSE),"BORRADO")</f>
        <v>42964</v>
      </c>
      <c r="C49" s="40" t="str">
        <f>IFERROR(VLOOKUP(2117,Chequeras[],3,FALSE),"BORRADO")</f>
        <v>01670182</v>
      </c>
      <c r="D49" s="41">
        <f>IFERROR(VLOOKUP(2117,Chequeras[],4,FALSE),"BORRADO")</f>
        <v>-13570</v>
      </c>
      <c r="E49" s="42">
        <f>IFERROR(VLOOKUP(2117,Chequeras[],5,FALSE),"BORRADO")</f>
        <v>42982</v>
      </c>
      <c r="F49" s="41">
        <f ca="1">IFERROR(VLOOKUP(2117,Chequeras[],6,FALSE),"BORRADO")</f>
        <v>10361</v>
      </c>
      <c r="G49" s="40" t="str">
        <f>IFERROR(VLOOKUP(2117,Chequeras[],7,FALSE),"BORRADO")</f>
        <v>Col.J.Hernandez 17/08/2017</v>
      </c>
      <c r="H49" s="40" t="str">
        <f>IFERROR(VLOOKUP(2117,Chequeras[],8,FALSE),"BORRADO")</f>
        <v>lh</v>
      </c>
      <c r="I49" s="40">
        <f>IFERROR(VLOOKUP(2117,Chequeras[],9,FALSE),"BORRADO")</f>
        <v>94</v>
      </c>
    </row>
    <row r="50" spans="1:9">
      <c r="A50" s="38" t="s">
        <v>353</v>
      </c>
      <c r="B50" s="39">
        <f>IFERROR(VLOOKUP(2118,Chequeras[],2,FALSE),"BORRADO")</f>
        <v>42964</v>
      </c>
      <c r="C50" s="40" t="str">
        <f>IFERROR(VLOOKUP(2118,Chequeras[],3,FALSE),"BORRADO")</f>
        <v>01670183</v>
      </c>
      <c r="D50" s="41">
        <f>IFERROR(VLOOKUP(2118,Chequeras[],4,FALSE),"BORRADO")</f>
        <v>-11384.73</v>
      </c>
      <c r="E50" s="42">
        <f>IFERROR(VLOOKUP(2118,Chequeras[],5,FALSE),"BORRADO")</f>
        <v>42984</v>
      </c>
      <c r="F50" s="41">
        <f ca="1">IFERROR(VLOOKUP(2118,Chequeras[],6,FALSE),"BORRADO")</f>
        <v>7433</v>
      </c>
      <c r="G50" s="40" t="str">
        <f>IFERROR(VLOOKUP(2118,Chequeras[],7,FALSE),"BORRADO")</f>
        <v>Cisneros Julia Inés 05/09/2017</v>
      </c>
      <c r="H50" s="40" t="str">
        <f>IFERROR(VLOOKUP(2118,Chequeras[],8,FALSE),"BORRADO")</f>
        <v>lh</v>
      </c>
      <c r="I50" s="40">
        <f>IFERROR(VLOOKUP(2118,Chequeras[],9,FALSE),"BORRADO")</f>
        <v>94</v>
      </c>
    </row>
    <row r="51" spans="1:9">
      <c r="A51" s="38" t="s">
        <v>353</v>
      </c>
      <c r="B51" s="39" t="str">
        <f>IFERROR(VLOOKUP(2053,Chequeras[],2,FALSE),"BORRADO")</f>
        <v>BORRADO</v>
      </c>
      <c r="C51" s="40" t="str">
        <f>IFERROR(VLOOKUP(2053,Chequeras[],3,FALSE),"BORRADO")</f>
        <v>BORRADO</v>
      </c>
      <c r="D51" s="41" t="str">
        <f>IFERROR(VLOOKUP(2053,Chequeras[],4,FALSE),"BORRADO")</f>
        <v>BORRADO</v>
      </c>
      <c r="E51" s="42" t="str">
        <f>IFERROR(VLOOKUP(2053,Chequeras[],5,FALSE),"BORRADO")</f>
        <v>BORRADO</v>
      </c>
      <c r="F51" s="41" t="str">
        <f>IFERROR(VLOOKUP(2053,Chequeras[],6,FALSE),"BORRADO")</f>
        <v>BORRADO</v>
      </c>
      <c r="G51" s="40" t="str">
        <f>IFERROR(VLOOKUP(2053,Chequeras[],7,FALSE),"BORRADO")</f>
        <v>BORRADO</v>
      </c>
      <c r="H51" s="40" t="str">
        <f>IFERROR(VLOOKUP(2053,Chequeras[],8,FALSE),"BORRADO")</f>
        <v>BORRADO</v>
      </c>
      <c r="I51" s="40" t="str">
        <f>IFERROR(VLOOKUP(2053,Chequeras[],9,FALSE),"BORRADO")</f>
        <v>BORRADO</v>
      </c>
    </row>
    <row r="52" spans="1:9">
      <c r="A52" s="38" t="s">
        <v>353</v>
      </c>
      <c r="B52" s="39">
        <f>IFERROR(VLOOKUP(2101,Chequeras[],2,FALSE),"BORRADO")</f>
        <v>42965</v>
      </c>
      <c r="C52" s="40" t="str">
        <f>IFERROR(VLOOKUP(2101,Chequeras[],3,FALSE),"BORRADO")</f>
        <v>01656333</v>
      </c>
      <c r="D52" s="41">
        <f>IFERROR(VLOOKUP(2101,Chequeras[],4,FALSE),"BORRADO")</f>
        <v>-22000</v>
      </c>
      <c r="E52" s="42">
        <f>IFERROR(VLOOKUP(2101,Chequeras[],5,FALSE),"BORRADO")</f>
        <v>42965</v>
      </c>
      <c r="F52" s="41">
        <f ca="1">IFERROR(VLOOKUP(2101,Chequeras[],6,FALSE),"BORRADO")</f>
        <v>3113</v>
      </c>
      <c r="G52" s="40" t="str">
        <f>IFERROR(VLOOKUP(2101,Chequeras[],7,FALSE),"BORRADO")</f>
        <v>Rr</v>
      </c>
      <c r="H52" s="40" t="str">
        <f>IFERROR(VLOOKUP(2101,Chequeras[],8,FALSE),"BORRADO")</f>
        <v>RR</v>
      </c>
      <c r="I52" s="40">
        <f>IFERROR(VLOOKUP(2101,Chequeras[],9,FALSE),"BORRADO")</f>
        <v>93</v>
      </c>
    </row>
    <row r="53" spans="1:9">
      <c r="A53" s="38" t="s">
        <v>355</v>
      </c>
      <c r="B53" s="39" t="str">
        <f>IFERROR(VLOOKUP(9449,Gastos[],2,FALSE),"BORRADO")</f>
        <v>BORRADO</v>
      </c>
      <c r="C53" s="40" t="str">
        <f>IFERROR(VLOOKUP(9449,Gastos[],3,FALSE),"BORRADO")</f>
        <v>BORRADO</v>
      </c>
      <c r="D53" s="41" t="str">
        <f>IFERROR(VLOOKUP(9449,Gastos[],4,FALSE),"BORRADO")</f>
        <v>BORRADO</v>
      </c>
      <c r="E53" s="42" t="str">
        <f>IFERROR(VLOOKUP(9449,Gastos[],5,FALSE),"BORRADO")</f>
        <v>BORRADO</v>
      </c>
      <c r="F53" s="41" t="str">
        <f>IFERROR(VLOOKUP(9449,Gastos[],6,FALSE),"BORRADO")</f>
        <v>BORRADO</v>
      </c>
      <c r="G53" s="40" t="str">
        <f>IFERROR(VLOOKUP(9449,Gastos[],7,FALSE),"BORRADO")</f>
        <v>BORRADO</v>
      </c>
      <c r="H53" s="40" t="str">
        <f>IFERROR(VLOOKUP(9449,Gastos[],8,FALSE),"BORRADO")</f>
        <v>BORRADO</v>
      </c>
      <c r="I53" s="40" t="str">
        <f>IFERROR(VLOOKUP(9449,Gastos[],9,FALSE),"BORRADO")</f>
        <v>BORRADO</v>
      </c>
    </row>
    <row r="54" spans="1:9">
      <c r="A54" s="38" t="s">
        <v>355</v>
      </c>
      <c r="B54" s="39" t="str">
        <f>IFERROR(VLOOKUP(9450,Gastos[],2,FALSE),"BORRADO")</f>
        <v>BORRADO</v>
      </c>
      <c r="C54" s="40" t="str">
        <f>IFERROR(VLOOKUP(9450,Gastos[],3,FALSE),"BORRADO")</f>
        <v>BORRADO</v>
      </c>
      <c r="D54" s="41" t="str">
        <f>IFERROR(VLOOKUP(9450,Gastos[],4,FALSE),"BORRADO")</f>
        <v>BORRADO</v>
      </c>
      <c r="E54" s="42" t="str">
        <f>IFERROR(VLOOKUP(9450,Gastos[],5,FALSE),"BORRADO")</f>
        <v>BORRADO</v>
      </c>
      <c r="F54" s="41" t="str">
        <f>IFERROR(VLOOKUP(9450,Gastos[],6,FALSE),"BORRADO")</f>
        <v>BORRADO</v>
      </c>
      <c r="G54" s="40" t="str">
        <f>IFERROR(VLOOKUP(9450,Gastos[],7,FALSE),"BORRADO")</f>
        <v>BORRADO</v>
      </c>
      <c r="H54" s="40" t="str">
        <f>IFERROR(VLOOKUP(9450,Gastos[],8,FALSE),"BORRADO")</f>
        <v>BORRADO</v>
      </c>
      <c r="I54" s="40" t="str">
        <f>IFERROR(VLOOKUP(9450,Gastos[],9,FALSE),"BORRADO")</f>
        <v>BORRADO</v>
      </c>
    </row>
    <row r="55" spans="1:9">
      <c r="A55" s="38" t="s">
        <v>354</v>
      </c>
      <c r="B55" s="39">
        <f>IFERROR(VLOOKUP(3142,Depositos[],2,FALSE),"BORRADO")</f>
        <v>42965</v>
      </c>
      <c r="C55" s="40" t="str">
        <f>IFERROR(VLOOKUP(3142,Depositos[],3,FALSE),"BORRADO")</f>
        <v>RR CHEQUE</v>
      </c>
      <c r="D55" s="41">
        <f>IFERROR(VLOOKUP(3142,Depositos[],4,FALSE),"BORRADO")</f>
        <v>351405</v>
      </c>
      <c r="E55" s="42">
        <f>IFERROR(VLOOKUP(3142,Depositos[],5,FALSE),"BORRADO")</f>
        <v>42969</v>
      </c>
      <c r="F55" s="41">
        <f ca="1">IFERROR(VLOOKUP(3142,Depositos[],6,FALSE),"BORRADO")</f>
        <v>211537</v>
      </c>
      <c r="G55" s="40" t="str">
        <f>IFERROR(VLOOKUP(3142,Depositos[],7,FALSE),"BORRADO")</f>
        <v>MACRO 68034561 MUNICIP./LIMSA</v>
      </c>
      <c r="H55" s="40">
        <f>IFERROR(VLOOKUP(3142,Depositos[],8,FALSE),"BORRADO")</f>
        <v>0</v>
      </c>
      <c r="I55" s="40">
        <f>IFERROR(VLOOKUP(3142,Depositos[],9,FALSE),"BORRADO")</f>
        <v>0</v>
      </c>
    </row>
    <row r="56" spans="1:9">
      <c r="A56" s="38" t="s">
        <v>353</v>
      </c>
      <c r="B56" s="39">
        <f>IFERROR(VLOOKUP(2102,Chequeras[],2,FALSE),"BORRADO")</f>
        <v>42965</v>
      </c>
      <c r="C56" s="40" t="str">
        <f>IFERROR(VLOOKUP(2102,Chequeras[],3,FALSE),"BORRADO")</f>
        <v>01656334</v>
      </c>
      <c r="D56" s="41">
        <f>IFERROR(VLOOKUP(2102,Chequeras[],4,FALSE),"BORRADO")</f>
        <v>-5000</v>
      </c>
      <c r="E56" s="42">
        <f>IFERROR(VLOOKUP(2102,Chequeras[],5,FALSE),"BORRADO")</f>
        <v>42979</v>
      </c>
      <c r="F56" s="41">
        <f ca="1">IFERROR(VLOOKUP(2102,Chequeras[],6,FALSE),"BORRADO")</f>
        <v>2714</v>
      </c>
      <c r="G56" s="40" t="str">
        <f>IFERROR(VLOOKUP(2102,Chequeras[],7,FALSE),"BORRADO")</f>
        <v>Rr 25/08/2017</v>
      </c>
      <c r="H56" s="40" t="str">
        <f>IFERROR(VLOOKUP(2102,Chequeras[],8,FALSE),"BORRADO")</f>
        <v>RR</v>
      </c>
      <c r="I56" s="40">
        <f>IFERROR(VLOOKUP(2102,Chequeras[],9,FALSE),"BORRADO")</f>
        <v>93</v>
      </c>
    </row>
    <row r="57" spans="1:9">
      <c r="A57" s="38" t="s">
        <v>353</v>
      </c>
      <c r="B57" s="39">
        <f>IFERROR(VLOOKUP(2103,Chequeras[],2,FALSE),"BORRADO")</f>
        <v>42965</v>
      </c>
      <c r="C57" s="40" t="str">
        <f>IFERROR(VLOOKUP(2103,Chequeras[],3,FALSE),"BORRADO")</f>
        <v>01656335</v>
      </c>
      <c r="D57" s="41">
        <f>IFERROR(VLOOKUP(2103,Chequeras[],4,FALSE),"BORRADO")</f>
        <v>-5000</v>
      </c>
      <c r="E57" s="42">
        <f>IFERROR(VLOOKUP(2103,Chequeras[],5,FALSE),"BORRADO")</f>
        <v>42979</v>
      </c>
      <c r="F57" s="41">
        <f ca="1">IFERROR(VLOOKUP(2103,Chequeras[],6,FALSE),"BORRADO")</f>
        <v>1573</v>
      </c>
      <c r="G57" s="40" t="str">
        <f>IFERROR(VLOOKUP(2103,Chequeras[],7,FALSE),"BORRADO")</f>
        <v>Rr 02/09/2017</v>
      </c>
      <c r="H57" s="40" t="str">
        <f>IFERROR(VLOOKUP(2103,Chequeras[],8,FALSE),"BORRADO")</f>
        <v>RR</v>
      </c>
      <c r="I57" s="40">
        <f>IFERROR(VLOOKUP(2103,Chequeras[],9,FALSE),"BORRADO")</f>
        <v>93</v>
      </c>
    </row>
    <row r="58" spans="1:9">
      <c r="A58" s="38" t="s">
        <v>353</v>
      </c>
      <c r="B58" s="39" t="str">
        <f>IFERROR(VLOOKUP(1934,Chequeras[],2,FALSE),"BORRADO")</f>
        <v>BORRADO</v>
      </c>
      <c r="C58" s="40" t="str">
        <f>IFERROR(VLOOKUP(1934,Chequeras[],3,FALSE),"BORRADO")</f>
        <v>BORRADO</v>
      </c>
      <c r="D58" s="41" t="str">
        <f>IFERROR(VLOOKUP(1934,Chequeras[],4,FALSE),"BORRADO")</f>
        <v>BORRADO</v>
      </c>
      <c r="E58" s="42" t="str">
        <f>IFERROR(VLOOKUP(1934,Chequeras[],5,FALSE),"BORRADO")</f>
        <v>BORRADO</v>
      </c>
      <c r="F58" s="41" t="str">
        <f>IFERROR(VLOOKUP(1934,Chequeras[],6,FALSE),"BORRADO")</f>
        <v>BORRADO</v>
      </c>
      <c r="G58" s="40" t="str">
        <f>IFERROR(VLOOKUP(1934,Chequeras[],7,FALSE),"BORRADO")</f>
        <v>BORRADO</v>
      </c>
      <c r="H58" s="40" t="str">
        <f>IFERROR(VLOOKUP(1934,Chequeras[],8,FALSE),"BORRADO")</f>
        <v>BORRADO</v>
      </c>
      <c r="I58" s="40" t="str">
        <f>IFERROR(VLOOKUP(1934,Chequeras[],9,FALSE),"BORRADO")</f>
        <v>BORRADO</v>
      </c>
    </row>
    <row r="59" spans="1:9">
      <c r="A59" s="38" t="s">
        <v>355</v>
      </c>
      <c r="B59" s="39" t="str">
        <f>IFERROR(VLOOKUP(9451,Gastos[],2,FALSE),"BORRADO")</f>
        <v>BORRADO</v>
      </c>
      <c r="C59" s="40" t="str">
        <f>IFERROR(VLOOKUP(9451,Gastos[],3,FALSE),"BORRADO")</f>
        <v>BORRADO</v>
      </c>
      <c r="D59" s="41" t="str">
        <f>IFERROR(VLOOKUP(9451,Gastos[],4,FALSE),"BORRADO")</f>
        <v>BORRADO</v>
      </c>
      <c r="E59" s="42" t="str">
        <f>IFERROR(VLOOKUP(9451,Gastos[],5,FALSE),"BORRADO")</f>
        <v>BORRADO</v>
      </c>
      <c r="F59" s="41" t="str">
        <f>IFERROR(VLOOKUP(9451,Gastos[],6,FALSE),"BORRADO")</f>
        <v>BORRADO</v>
      </c>
      <c r="G59" s="40" t="str">
        <f>IFERROR(VLOOKUP(9451,Gastos[],7,FALSE),"BORRADO")</f>
        <v>BORRADO</v>
      </c>
      <c r="H59" s="40" t="str">
        <f>IFERROR(VLOOKUP(9451,Gastos[],8,FALSE),"BORRADO")</f>
        <v>BORRADO</v>
      </c>
      <c r="I59" s="40" t="str">
        <f>IFERROR(VLOOKUP(9451,Gastos[],9,FALSE),"BORRADO")</f>
        <v>BORRADO</v>
      </c>
    </row>
    <row r="60" spans="1:9">
      <c r="A60" s="38" t="s">
        <v>355</v>
      </c>
      <c r="B60" s="39" t="str">
        <f>IFERROR(VLOOKUP(9452,Gastos[],2,FALSE),"BORRADO")</f>
        <v>BORRADO</v>
      </c>
      <c r="C60" s="40" t="str">
        <f>IFERROR(VLOOKUP(9452,Gastos[],3,FALSE),"BORRADO")</f>
        <v>BORRADO</v>
      </c>
      <c r="D60" s="41" t="str">
        <f>IFERROR(VLOOKUP(9452,Gastos[],4,FALSE),"BORRADO")</f>
        <v>BORRADO</v>
      </c>
      <c r="E60" s="42" t="str">
        <f>IFERROR(VLOOKUP(9452,Gastos[],5,FALSE),"BORRADO")</f>
        <v>BORRADO</v>
      </c>
      <c r="F60" s="41" t="str">
        <f>IFERROR(VLOOKUP(9452,Gastos[],6,FALSE),"BORRADO")</f>
        <v>BORRADO</v>
      </c>
      <c r="G60" s="40" t="str">
        <f>IFERROR(VLOOKUP(9452,Gastos[],7,FALSE),"BORRADO")</f>
        <v>BORRADO</v>
      </c>
      <c r="H60" s="40" t="str">
        <f>IFERROR(VLOOKUP(9452,Gastos[],8,FALSE),"BORRADO")</f>
        <v>BORRADO</v>
      </c>
      <c r="I60" s="40" t="str">
        <f>IFERROR(VLOOKUP(9452,Gastos[],9,FALSE),"BORRADO")</f>
        <v>BORRADO</v>
      </c>
    </row>
    <row r="61" spans="1:9">
      <c r="A61" s="38" t="s">
        <v>355</v>
      </c>
      <c r="B61" s="39" t="str">
        <f>IFERROR(VLOOKUP(9453,Gastos[],2,FALSE),"BORRADO")</f>
        <v>BORRADO</v>
      </c>
      <c r="C61" s="40" t="str">
        <f>IFERROR(VLOOKUP(9453,Gastos[],3,FALSE),"BORRADO")</f>
        <v>BORRADO</v>
      </c>
      <c r="D61" s="41" t="str">
        <f>IFERROR(VLOOKUP(9453,Gastos[],4,FALSE),"BORRADO")</f>
        <v>BORRADO</v>
      </c>
      <c r="E61" s="42" t="str">
        <f>IFERROR(VLOOKUP(9453,Gastos[],5,FALSE),"BORRADO")</f>
        <v>BORRADO</v>
      </c>
      <c r="F61" s="41" t="str">
        <f>IFERROR(VLOOKUP(9453,Gastos[],6,FALSE),"BORRADO")</f>
        <v>BORRADO</v>
      </c>
      <c r="G61" s="40" t="str">
        <f>IFERROR(VLOOKUP(9453,Gastos[],7,FALSE),"BORRADO")</f>
        <v>BORRADO</v>
      </c>
      <c r="H61" s="40" t="str">
        <f>IFERROR(VLOOKUP(9453,Gastos[],8,FALSE),"BORRADO")</f>
        <v>BORRADO</v>
      </c>
      <c r="I61" s="40" t="str">
        <f>IFERROR(VLOOKUP(9453,Gastos[],9,FALSE),"BORRADO")</f>
        <v>BORRADO</v>
      </c>
    </row>
    <row r="62" spans="1:9">
      <c r="A62" s="38" t="s">
        <v>353</v>
      </c>
      <c r="B62" s="39">
        <f>IFERROR(VLOOKUP(2099,Chequeras[],2,FALSE),"BORRADO")</f>
        <v>42969</v>
      </c>
      <c r="C62" s="40" t="str">
        <f>IFERROR(VLOOKUP(2099,Chequeras[],3,FALSE),"BORRADO")</f>
        <v>01656331</v>
      </c>
      <c r="D62" s="41">
        <f>IFERROR(VLOOKUP(2099,Chequeras[],4,FALSE),"BORRADO")</f>
        <v>-30000</v>
      </c>
      <c r="E62" s="42">
        <f>IFERROR(VLOOKUP(2099,Chequeras[],5,FALSE),"BORRADO")</f>
        <v>42972</v>
      </c>
      <c r="F62" s="41">
        <f ca="1">IFERROR(VLOOKUP(2099,Chequeras[],6,FALSE),"BORRADO")</f>
        <v>25891</v>
      </c>
      <c r="G62" s="40" t="str">
        <f>IFERROR(VLOOKUP(2099,Chequeras[],7,FALSE),"BORRADO")</f>
        <v>Rr</v>
      </c>
      <c r="H62" s="40" t="str">
        <f>IFERROR(VLOOKUP(2099,Chequeras[],8,FALSE),"BORRADO")</f>
        <v>RR</v>
      </c>
      <c r="I62" s="40">
        <f>IFERROR(VLOOKUP(2099,Chequeras[],9,FALSE),"BORRADO")</f>
        <v>93</v>
      </c>
    </row>
    <row r="63" spans="1:9">
      <c r="A63" s="38" t="s">
        <v>355</v>
      </c>
      <c r="B63" s="39" t="str">
        <f>IFERROR(VLOOKUP(9454,Gastos[],2,FALSE),"BORRADO")</f>
        <v>BORRADO</v>
      </c>
      <c r="C63" s="40" t="str">
        <f>IFERROR(VLOOKUP(9454,Gastos[],3,FALSE),"BORRADO")</f>
        <v>BORRADO</v>
      </c>
      <c r="D63" s="41" t="str">
        <f>IFERROR(VLOOKUP(9454,Gastos[],4,FALSE),"BORRADO")</f>
        <v>BORRADO</v>
      </c>
      <c r="E63" s="42" t="str">
        <f>IFERROR(VLOOKUP(9454,Gastos[],5,FALSE),"BORRADO")</f>
        <v>BORRADO</v>
      </c>
      <c r="F63" s="41" t="str">
        <f>IFERROR(VLOOKUP(9454,Gastos[],6,FALSE),"BORRADO")</f>
        <v>BORRADO</v>
      </c>
      <c r="G63" s="40" t="str">
        <f>IFERROR(VLOOKUP(9454,Gastos[],7,FALSE),"BORRADO")</f>
        <v>BORRADO</v>
      </c>
      <c r="H63" s="40" t="str">
        <f>IFERROR(VLOOKUP(9454,Gastos[],8,FALSE),"BORRADO")</f>
        <v>BORRADO</v>
      </c>
      <c r="I63" s="40" t="str">
        <f>IFERROR(VLOOKUP(9454,Gastos[],9,FALSE),"BORRADO")</f>
        <v>BORRADO</v>
      </c>
    </row>
    <row r="64" spans="1:9">
      <c r="A64" s="38" t="s">
        <v>355</v>
      </c>
      <c r="B64" s="39" t="str">
        <f>IFERROR(VLOOKUP(9455,Gastos[],2,FALSE),"BORRADO")</f>
        <v>BORRADO</v>
      </c>
      <c r="C64" s="40" t="str">
        <f>IFERROR(VLOOKUP(9455,Gastos[],3,FALSE),"BORRADO")</f>
        <v>BORRADO</v>
      </c>
      <c r="D64" s="41" t="str">
        <f>IFERROR(VLOOKUP(9455,Gastos[],4,FALSE),"BORRADO")</f>
        <v>BORRADO</v>
      </c>
      <c r="E64" s="42" t="str">
        <f>IFERROR(VLOOKUP(9455,Gastos[],5,FALSE),"BORRADO")</f>
        <v>BORRADO</v>
      </c>
      <c r="F64" s="41" t="str">
        <f>IFERROR(VLOOKUP(9455,Gastos[],6,FALSE),"BORRADO")</f>
        <v>BORRADO</v>
      </c>
      <c r="G64" s="40" t="str">
        <f>IFERROR(VLOOKUP(9455,Gastos[],7,FALSE),"BORRADO")</f>
        <v>BORRADO</v>
      </c>
      <c r="H64" s="40" t="str">
        <f>IFERROR(VLOOKUP(9455,Gastos[],8,FALSE),"BORRADO")</f>
        <v>BORRADO</v>
      </c>
      <c r="I64" s="40" t="str">
        <f>IFERROR(VLOOKUP(9455,Gastos[],9,FALSE),"BORRADO")</f>
        <v>BORRADO</v>
      </c>
    </row>
    <row r="65" spans="1:9">
      <c r="A65" s="38" t="s">
        <v>355</v>
      </c>
      <c r="B65" s="39" t="str">
        <f>IFERROR(VLOOKUP(9456,Gastos[],2,FALSE),"BORRADO")</f>
        <v>BORRADO</v>
      </c>
      <c r="C65" s="40" t="str">
        <f>IFERROR(VLOOKUP(9456,Gastos[],3,FALSE),"BORRADO")</f>
        <v>BORRADO</v>
      </c>
      <c r="D65" s="41" t="str">
        <f>IFERROR(VLOOKUP(9456,Gastos[],4,FALSE),"BORRADO")</f>
        <v>BORRADO</v>
      </c>
      <c r="E65" s="42" t="str">
        <f>IFERROR(VLOOKUP(9456,Gastos[],5,FALSE),"BORRADO")</f>
        <v>BORRADO</v>
      </c>
      <c r="F65" s="41" t="str">
        <f>IFERROR(VLOOKUP(9456,Gastos[],6,FALSE),"BORRADO")</f>
        <v>BORRADO</v>
      </c>
      <c r="G65" s="40" t="str">
        <f>IFERROR(VLOOKUP(9456,Gastos[],7,FALSE),"BORRADO")</f>
        <v>BORRADO</v>
      </c>
      <c r="H65" s="40" t="str">
        <f>IFERROR(VLOOKUP(9456,Gastos[],8,FALSE),"BORRADO")</f>
        <v>BORRADO</v>
      </c>
      <c r="I65" s="40" t="str">
        <f>IFERROR(VLOOKUP(9456,Gastos[],9,FALSE),"BORRADO")</f>
        <v>BORRADO</v>
      </c>
    </row>
    <row r="66" spans="1:9">
      <c r="A66" s="38" t="s">
        <v>353</v>
      </c>
      <c r="B66" s="39">
        <f>IFERROR(VLOOKUP(2100,Chequeras[],2,FALSE),"BORRADO")</f>
        <v>42971</v>
      </c>
      <c r="C66" s="40" t="str">
        <f>IFERROR(VLOOKUP(2100,Chequeras[],3,FALSE),"BORRADO")</f>
        <v>01656332</v>
      </c>
      <c r="D66" s="41">
        <f>IFERROR(VLOOKUP(2100,Chequeras[],4,FALSE),"BORRADO")</f>
        <v>-26000</v>
      </c>
      <c r="E66" s="42">
        <f>IFERROR(VLOOKUP(2100,Chequeras[],5,FALSE),"BORRADO")</f>
        <v>42976</v>
      </c>
      <c r="F66" s="41">
        <f ca="1">IFERROR(VLOOKUP(2100,Chequeras[],6,FALSE),"BORRADO")</f>
        <v>23543</v>
      </c>
      <c r="G66" s="40" t="str">
        <f>IFERROR(VLOOKUP(2100,Chequeras[],7,FALSE),"BORRADO")</f>
        <v>Rr</v>
      </c>
      <c r="H66" s="40" t="str">
        <f>IFERROR(VLOOKUP(2100,Chequeras[],8,FALSE),"BORRADO")</f>
        <v>RR</v>
      </c>
      <c r="I66" s="40">
        <f>IFERROR(VLOOKUP(2100,Chequeras[],9,FALSE),"BORRADO")</f>
        <v>93</v>
      </c>
    </row>
    <row r="67" spans="1:9">
      <c r="A67" s="38" t="s">
        <v>353</v>
      </c>
      <c r="B67" s="39">
        <f>IFERROR(VLOOKUP(2104,Chequeras[],2,FALSE),"BORRADO")</f>
        <v>42972</v>
      </c>
      <c r="C67" s="40" t="str">
        <f>IFERROR(VLOOKUP(2104,Chequeras[],3,FALSE),"BORRADO")</f>
        <v>01656337</v>
      </c>
      <c r="D67" s="41">
        <f>IFERROR(VLOOKUP(2104,Chequeras[],4,FALSE),"BORRADO")</f>
        <v>-19895</v>
      </c>
      <c r="E67" s="42">
        <f>IFERROR(VLOOKUP(2104,Chequeras[],5,FALSE),"BORRADO")</f>
        <v>42972</v>
      </c>
      <c r="F67" s="41">
        <f ca="1">IFERROR(VLOOKUP(2104,Chequeras[],6,FALSE),"BORRADO")</f>
        <v>18131</v>
      </c>
      <c r="G67" s="40" t="str">
        <f>IFERROR(VLOOKUP(2104,Chequeras[],7,FALSE),"BORRADO")</f>
        <v>Rr</v>
      </c>
      <c r="H67" s="40" t="str">
        <f>IFERROR(VLOOKUP(2104,Chequeras[],8,FALSE),"BORRADO")</f>
        <v>RR</v>
      </c>
      <c r="I67" s="40">
        <f>IFERROR(VLOOKUP(2104,Chequeras[],9,FALSE),"BORRADO")</f>
        <v>93</v>
      </c>
    </row>
    <row r="68" spans="1:9">
      <c r="A68" s="38" t="s">
        <v>355</v>
      </c>
      <c r="B68" s="39" t="str">
        <f>IFERROR(VLOOKUP(9457,Gastos[],2,FALSE),"BORRADO")</f>
        <v>BORRADO</v>
      </c>
      <c r="C68" s="40" t="str">
        <f>IFERROR(VLOOKUP(9457,Gastos[],3,FALSE),"BORRADO")</f>
        <v>BORRADO</v>
      </c>
      <c r="D68" s="41" t="str">
        <f>IFERROR(VLOOKUP(9457,Gastos[],4,FALSE),"BORRADO")</f>
        <v>BORRADO</v>
      </c>
      <c r="E68" s="42" t="str">
        <f>IFERROR(VLOOKUP(9457,Gastos[],5,FALSE),"BORRADO")</f>
        <v>BORRADO</v>
      </c>
      <c r="F68" s="41" t="str">
        <f>IFERROR(VLOOKUP(9457,Gastos[],6,FALSE),"BORRADO")</f>
        <v>BORRADO</v>
      </c>
      <c r="G68" s="40" t="str">
        <f>IFERROR(VLOOKUP(9457,Gastos[],7,FALSE),"BORRADO")</f>
        <v>BORRADO</v>
      </c>
      <c r="H68" s="40" t="str">
        <f>IFERROR(VLOOKUP(9457,Gastos[],8,FALSE),"BORRADO")</f>
        <v>BORRADO</v>
      </c>
      <c r="I68" s="40" t="str">
        <f>IFERROR(VLOOKUP(9457,Gastos[],9,FALSE),"BORRADO")</f>
        <v>BORRADO</v>
      </c>
    </row>
    <row r="69" spans="1:9">
      <c r="A69" s="38" t="s">
        <v>355</v>
      </c>
      <c r="B69" s="39" t="str">
        <f>IFERROR(VLOOKUP(9458,Gastos[],2,FALSE),"BORRADO")</f>
        <v>BORRADO</v>
      </c>
      <c r="C69" s="40" t="str">
        <f>IFERROR(VLOOKUP(9458,Gastos[],3,FALSE),"BORRADO")</f>
        <v>BORRADO</v>
      </c>
      <c r="D69" s="41" t="str">
        <f>IFERROR(VLOOKUP(9458,Gastos[],4,FALSE),"BORRADO")</f>
        <v>BORRADO</v>
      </c>
      <c r="E69" s="42" t="str">
        <f>IFERROR(VLOOKUP(9458,Gastos[],5,FALSE),"BORRADO")</f>
        <v>BORRADO</v>
      </c>
      <c r="F69" s="41" t="str">
        <f>IFERROR(VLOOKUP(9458,Gastos[],6,FALSE),"BORRADO")</f>
        <v>BORRADO</v>
      </c>
      <c r="G69" s="40" t="str">
        <f>IFERROR(VLOOKUP(9458,Gastos[],7,FALSE),"BORRADO")</f>
        <v>BORRADO</v>
      </c>
      <c r="H69" s="40" t="str">
        <f>IFERROR(VLOOKUP(9458,Gastos[],8,FALSE),"BORRADO")</f>
        <v>BORRADO</v>
      </c>
      <c r="I69" s="40" t="str">
        <f>IFERROR(VLOOKUP(9458,Gastos[],9,FALSE),"BORRADO")</f>
        <v>BORRADO</v>
      </c>
    </row>
    <row r="70" spans="1:9">
      <c r="A70" s="38" t="s">
        <v>355</v>
      </c>
      <c r="B70" s="39" t="str">
        <f>IFERROR(VLOOKUP(9459,Gastos[],2,FALSE),"BORRADO")</f>
        <v>BORRADO</v>
      </c>
      <c r="C70" s="40" t="str">
        <f>IFERROR(VLOOKUP(9459,Gastos[],3,FALSE),"BORRADO")</f>
        <v>BORRADO</v>
      </c>
      <c r="D70" s="41" t="str">
        <f>IFERROR(VLOOKUP(9459,Gastos[],4,FALSE),"BORRADO")</f>
        <v>BORRADO</v>
      </c>
      <c r="E70" s="42" t="str">
        <f>IFERROR(VLOOKUP(9459,Gastos[],5,FALSE),"BORRADO")</f>
        <v>BORRADO</v>
      </c>
      <c r="F70" s="41" t="str">
        <f>IFERROR(VLOOKUP(9459,Gastos[],6,FALSE),"BORRADO")</f>
        <v>BORRADO</v>
      </c>
      <c r="G70" s="40" t="str">
        <f>IFERROR(VLOOKUP(9459,Gastos[],7,FALSE),"BORRADO")</f>
        <v>BORRADO</v>
      </c>
      <c r="H70" s="40" t="str">
        <f>IFERROR(VLOOKUP(9459,Gastos[],8,FALSE),"BORRADO")</f>
        <v>BORRADO</v>
      </c>
      <c r="I70" s="40" t="str">
        <f>IFERROR(VLOOKUP(9459,Gastos[],9,FALSE),"BORRADO")</f>
        <v>BORRADO</v>
      </c>
    </row>
    <row r="71" spans="1:9">
      <c r="A71" s="38" t="s">
        <v>353</v>
      </c>
      <c r="B71" s="39">
        <f>IFERROR(VLOOKUP(2105,Chequeras[],2,FALSE),"BORRADO")</f>
        <v>42972</v>
      </c>
      <c r="C71" s="40" t="str">
        <f>IFERROR(VLOOKUP(2105,Chequeras[],3,FALSE),"BORRADO")</f>
        <v>01656338</v>
      </c>
      <c r="D71" s="41">
        <f>IFERROR(VLOOKUP(2105,Chequeras[],4,FALSE),"BORRADO")</f>
        <v>-77000</v>
      </c>
      <c r="E71" s="42">
        <f>IFERROR(VLOOKUP(2105,Chequeras[],5,FALSE),"BORRADO")</f>
        <v>42991</v>
      </c>
      <c r="F71" s="41">
        <f ca="1">IFERROR(VLOOKUP(2105,Chequeras[],6,FALSE),"BORRADO")</f>
        <v>14791</v>
      </c>
      <c r="G71" s="40" t="str">
        <f>IFERROR(VLOOKUP(2105,Chequeras[],7,FALSE),"BORRADO")</f>
        <v>Pablo Lavilla 28/08/2017</v>
      </c>
      <c r="H71" s="40" t="str">
        <f>IFERROR(VLOOKUP(2105,Chequeras[],8,FALSE),"BORRADO")</f>
        <v>RR</v>
      </c>
      <c r="I71" s="40">
        <f>IFERROR(VLOOKUP(2105,Chequeras[],9,FALSE),"BORRADO")</f>
        <v>93</v>
      </c>
    </row>
    <row r="72" spans="1:9">
      <c r="A72" s="38" t="s">
        <v>355</v>
      </c>
      <c r="B72" s="39" t="str">
        <f>IFERROR(VLOOKUP(9460,Gastos[],2,FALSE),"BORRADO")</f>
        <v>BORRADO</v>
      </c>
      <c r="C72" s="40" t="str">
        <f>IFERROR(VLOOKUP(9460,Gastos[],3,FALSE),"BORRADO")</f>
        <v>BORRADO</v>
      </c>
      <c r="D72" s="41" t="str">
        <f>IFERROR(VLOOKUP(9460,Gastos[],4,FALSE),"BORRADO")</f>
        <v>BORRADO</v>
      </c>
      <c r="E72" s="42" t="str">
        <f>IFERROR(VLOOKUP(9460,Gastos[],5,FALSE),"BORRADO")</f>
        <v>BORRADO</v>
      </c>
      <c r="F72" s="41" t="str">
        <f>IFERROR(VLOOKUP(9460,Gastos[],6,FALSE),"BORRADO")</f>
        <v>BORRADO</v>
      </c>
      <c r="G72" s="40" t="str">
        <f>IFERROR(VLOOKUP(9460,Gastos[],7,FALSE),"BORRADO")</f>
        <v>BORRADO</v>
      </c>
      <c r="H72" s="40" t="str">
        <f>IFERROR(VLOOKUP(9460,Gastos[],8,FALSE),"BORRADO")</f>
        <v>BORRADO</v>
      </c>
      <c r="I72" s="40" t="str">
        <f>IFERROR(VLOOKUP(9460,Gastos[],9,FALSE),"BORRADO")</f>
        <v>BORRADO</v>
      </c>
    </row>
    <row r="73" spans="1:9">
      <c r="A73" s="38" t="s">
        <v>355</v>
      </c>
      <c r="B73" s="39" t="str">
        <f>IFERROR(VLOOKUP(9461,Gastos[],2,FALSE),"BORRADO")</f>
        <v>BORRADO</v>
      </c>
      <c r="C73" s="40" t="str">
        <f>IFERROR(VLOOKUP(9461,Gastos[],3,FALSE),"BORRADO")</f>
        <v>BORRADO</v>
      </c>
      <c r="D73" s="41" t="str">
        <f>IFERROR(VLOOKUP(9461,Gastos[],4,FALSE),"BORRADO")</f>
        <v>BORRADO</v>
      </c>
      <c r="E73" s="42" t="str">
        <f>IFERROR(VLOOKUP(9461,Gastos[],5,FALSE),"BORRADO")</f>
        <v>BORRADO</v>
      </c>
      <c r="F73" s="41" t="str">
        <f>IFERROR(VLOOKUP(9461,Gastos[],6,FALSE),"BORRADO")</f>
        <v>BORRADO</v>
      </c>
      <c r="G73" s="40" t="str">
        <f>IFERROR(VLOOKUP(9461,Gastos[],7,FALSE),"BORRADO")</f>
        <v>BORRADO</v>
      </c>
      <c r="H73" s="40" t="str">
        <f>IFERROR(VLOOKUP(9461,Gastos[],8,FALSE),"BORRADO")</f>
        <v>BORRADO</v>
      </c>
      <c r="I73" s="40" t="str">
        <f>IFERROR(VLOOKUP(9461,Gastos[],9,FALSE),"BORRADO")</f>
        <v>BORRADO</v>
      </c>
    </row>
    <row r="74" spans="1:9">
      <c r="A74" s="38" t="s">
        <v>353</v>
      </c>
      <c r="B74" s="39">
        <f>IFERROR(VLOOKUP(2106,Chequeras[],2,FALSE),"BORRADO")</f>
        <v>42975</v>
      </c>
      <c r="C74" s="40" t="str">
        <f>IFERROR(VLOOKUP(2106,Chequeras[],3,FALSE),"BORRADO")</f>
        <v>01656339</v>
      </c>
      <c r="D74" s="41">
        <f>IFERROR(VLOOKUP(2106,Chequeras[],4,FALSE),"BORRADO")</f>
        <v>-9100</v>
      </c>
      <c r="E74" s="42">
        <f>IFERROR(VLOOKUP(2106,Chequeras[],5,FALSE),"BORRADO")</f>
        <v>42976</v>
      </c>
      <c r="F74" s="41">
        <f ca="1">IFERROR(VLOOKUP(2106,Chequeras[],6,FALSE),"BORRADO")</f>
        <v>784</v>
      </c>
      <c r="G74" s="40" t="str">
        <f>IFERROR(VLOOKUP(2106,Chequeras[],7,FALSE),"BORRADO")</f>
        <v>Alcaraz</v>
      </c>
      <c r="H74" s="40" t="str">
        <f>IFERROR(VLOOKUP(2106,Chequeras[],8,FALSE),"BORRADO")</f>
        <v>RR</v>
      </c>
      <c r="I74" s="40">
        <f>IFERROR(VLOOKUP(2106,Chequeras[],9,FALSE),"BORRADO")</f>
        <v>93</v>
      </c>
    </row>
    <row r="75" spans="1:9">
      <c r="A75" s="38" t="s">
        <v>353</v>
      </c>
      <c r="B75" s="39">
        <f>IFERROR(VLOOKUP(2107,Chequeras[],2,FALSE),"BORRADO")</f>
        <v>42975</v>
      </c>
      <c r="C75" s="40" t="str">
        <f>IFERROR(VLOOKUP(2107,Chequeras[],3,FALSE),"BORRADO")</f>
        <v>01656340</v>
      </c>
      <c r="D75" s="41">
        <f>IFERROR(VLOOKUP(2107,Chequeras[],4,FALSE),"BORRADO")</f>
        <v>-10000</v>
      </c>
      <c r="E75" s="42">
        <f>IFERROR(VLOOKUP(2107,Chequeras[],5,FALSE),"BORRADO")</f>
        <v>42976</v>
      </c>
      <c r="F75" s="41">
        <f ca="1">IFERROR(VLOOKUP(2107,Chequeras[],6,FALSE),"BORRADO")</f>
        <v>3846</v>
      </c>
      <c r="G75" s="40" t="str">
        <f>IFERROR(VLOOKUP(2107,Chequeras[],7,FALSE),"BORRADO")</f>
        <v>Alvarez</v>
      </c>
      <c r="H75" s="40" t="str">
        <f>IFERROR(VLOOKUP(2107,Chequeras[],8,FALSE),"BORRADO")</f>
        <v>RR</v>
      </c>
      <c r="I75" s="40">
        <f>IFERROR(VLOOKUP(2107,Chequeras[],9,FALSE),"BORRADO")</f>
        <v>93</v>
      </c>
    </row>
    <row r="76" spans="1:9">
      <c r="A76" s="38" t="s">
        <v>354</v>
      </c>
      <c r="B76" s="39">
        <f>IFERROR(VLOOKUP(3143,Depositos[],2,FALSE),"BORRADO")</f>
        <v>42975</v>
      </c>
      <c r="C76" s="40" t="str">
        <f>IFERROR(VLOOKUP(3143,Depositos[],3,FALSE),"BORRADO")</f>
        <v>RR CHEQUE</v>
      </c>
      <c r="D76" s="41">
        <f>IFERROR(VLOOKUP(3143,Depositos[],4,FALSE),"BORRADO")</f>
        <v>200000</v>
      </c>
      <c r="E76" s="42">
        <f>IFERROR(VLOOKUP(3143,Depositos[],5,FALSE),"BORRADO")</f>
        <v>42976</v>
      </c>
      <c r="F76" s="41">
        <f ca="1">IFERROR(VLOOKUP(3143,Depositos[],6,FALSE),"BORRADO")</f>
        <v>117097</v>
      </c>
      <c r="G76" s="40" t="str">
        <f>IFERROR(VLOOKUP(3143,Depositos[],7,FALSE),"BORRADO")</f>
        <v>PCIA.BS.AS. 34748929</v>
      </c>
      <c r="H76" s="40">
        <f>IFERROR(VLOOKUP(3143,Depositos[],8,FALSE),"BORRADO")</f>
        <v>0</v>
      </c>
      <c r="I76" s="40">
        <f>IFERROR(VLOOKUP(3143,Depositos[],9,FALSE),"BORRADO")</f>
        <v>0</v>
      </c>
    </row>
    <row r="77" spans="1:9">
      <c r="A77" s="38" t="s">
        <v>353</v>
      </c>
      <c r="B77" s="39">
        <f>IFERROR(VLOOKUP(2110,Chequeras[],2,FALSE),"BORRADO")</f>
        <v>42975</v>
      </c>
      <c r="C77" s="40" t="str">
        <f>IFERROR(VLOOKUP(2110,Chequeras[],3,FALSE),"BORRADO")</f>
        <v>01656344</v>
      </c>
      <c r="D77" s="41">
        <f>IFERROR(VLOOKUP(2110,Chequeras[],4,FALSE),"BORRADO")</f>
        <v>-200000</v>
      </c>
      <c r="E77" s="42">
        <f>IFERROR(VLOOKUP(2110,Chequeras[],5,FALSE),"BORRADO")</f>
        <v>42978</v>
      </c>
      <c r="F77" s="41">
        <f ca="1">IFERROR(VLOOKUP(2110,Chequeras[],6,FALSE),"BORRADO")</f>
        <v>124295</v>
      </c>
      <c r="G77" s="40" t="str">
        <f>IFERROR(VLOOKUP(2110,Chequeras[],7,FALSE),"BORRADO")</f>
        <v>Rr 30/08/2017</v>
      </c>
      <c r="H77" s="40" t="str">
        <f>IFERROR(VLOOKUP(2110,Chequeras[],8,FALSE),"BORRADO")</f>
        <v>RR</v>
      </c>
      <c r="I77" s="40">
        <f>IFERROR(VLOOKUP(2110,Chequeras[],9,FALSE),"BORRADO")</f>
        <v>93</v>
      </c>
    </row>
    <row r="78" spans="1:9">
      <c r="A78" s="38" t="s">
        <v>355</v>
      </c>
      <c r="B78" s="39" t="str">
        <f>IFERROR(VLOOKUP(9462,Gastos[],2,FALSE),"BORRADO")</f>
        <v>BORRADO</v>
      </c>
      <c r="C78" s="40" t="str">
        <f>IFERROR(VLOOKUP(9462,Gastos[],3,FALSE),"BORRADO")</f>
        <v>BORRADO</v>
      </c>
      <c r="D78" s="41" t="str">
        <f>IFERROR(VLOOKUP(9462,Gastos[],4,FALSE),"BORRADO")</f>
        <v>BORRADO</v>
      </c>
      <c r="E78" s="42" t="str">
        <f>IFERROR(VLOOKUP(9462,Gastos[],5,FALSE),"BORRADO")</f>
        <v>BORRADO</v>
      </c>
      <c r="F78" s="41" t="str">
        <f>IFERROR(VLOOKUP(9462,Gastos[],6,FALSE),"BORRADO")</f>
        <v>BORRADO</v>
      </c>
      <c r="G78" s="40" t="str">
        <f>IFERROR(VLOOKUP(9462,Gastos[],7,FALSE),"BORRADO")</f>
        <v>BORRADO</v>
      </c>
      <c r="H78" s="40" t="str">
        <f>IFERROR(VLOOKUP(9462,Gastos[],8,FALSE),"BORRADO")</f>
        <v>BORRADO</v>
      </c>
      <c r="I78" s="40" t="str">
        <f>IFERROR(VLOOKUP(9462,Gastos[],9,FALSE),"BORRADO")</f>
        <v>BORRADO</v>
      </c>
    </row>
    <row r="79" spans="1:9">
      <c r="A79" s="38" t="s">
        <v>355</v>
      </c>
      <c r="B79" s="39" t="str">
        <f>IFERROR(VLOOKUP(9463,Gastos[],2,FALSE),"BORRADO")</f>
        <v>BORRADO</v>
      </c>
      <c r="C79" s="40" t="str">
        <f>IFERROR(VLOOKUP(9463,Gastos[],3,FALSE),"BORRADO")</f>
        <v>BORRADO</v>
      </c>
      <c r="D79" s="41" t="str">
        <f>IFERROR(VLOOKUP(9463,Gastos[],4,FALSE),"BORRADO")</f>
        <v>BORRADO</v>
      </c>
      <c r="E79" s="42" t="str">
        <f>IFERROR(VLOOKUP(9463,Gastos[],5,FALSE),"BORRADO")</f>
        <v>BORRADO</v>
      </c>
      <c r="F79" s="41" t="str">
        <f>IFERROR(VLOOKUP(9463,Gastos[],6,FALSE),"BORRADO")</f>
        <v>BORRADO</v>
      </c>
      <c r="G79" s="40" t="str">
        <f>IFERROR(VLOOKUP(9463,Gastos[],7,FALSE),"BORRADO")</f>
        <v>BORRADO</v>
      </c>
      <c r="H79" s="40" t="str">
        <f>IFERROR(VLOOKUP(9463,Gastos[],8,FALSE),"BORRADO")</f>
        <v>BORRADO</v>
      </c>
      <c r="I79" s="40" t="str">
        <f>IFERROR(VLOOKUP(9463,Gastos[],9,FALSE),"BORRADO")</f>
        <v>BORRADO</v>
      </c>
    </row>
    <row r="80" spans="1:9">
      <c r="A80" s="38" t="s">
        <v>355</v>
      </c>
      <c r="B80" s="39" t="str">
        <f>IFERROR(VLOOKUP(9464,Gastos[],2,FALSE),"BORRADO")</f>
        <v>BORRADO</v>
      </c>
      <c r="C80" s="40" t="str">
        <f>IFERROR(VLOOKUP(9464,Gastos[],3,FALSE),"BORRADO")</f>
        <v>BORRADO</v>
      </c>
      <c r="D80" s="41" t="str">
        <f>IFERROR(VLOOKUP(9464,Gastos[],4,FALSE),"BORRADO")</f>
        <v>BORRADO</v>
      </c>
      <c r="E80" s="42" t="str">
        <f>IFERROR(VLOOKUP(9464,Gastos[],5,FALSE),"BORRADO")</f>
        <v>BORRADO</v>
      </c>
      <c r="F80" s="41" t="str">
        <f>IFERROR(VLOOKUP(9464,Gastos[],6,FALSE),"BORRADO")</f>
        <v>BORRADO</v>
      </c>
      <c r="G80" s="40" t="str">
        <f>IFERROR(VLOOKUP(9464,Gastos[],7,FALSE),"BORRADO")</f>
        <v>BORRADO</v>
      </c>
      <c r="H80" s="40" t="str">
        <f>IFERROR(VLOOKUP(9464,Gastos[],8,FALSE),"BORRADO")</f>
        <v>BORRADO</v>
      </c>
      <c r="I80" s="40" t="str">
        <f>IFERROR(VLOOKUP(9464,Gastos[],9,FALSE),"BORRADO")</f>
        <v>BORRADO</v>
      </c>
    </row>
    <row r="81" spans="1:9">
      <c r="A81" s="38" t="s">
        <v>355</v>
      </c>
      <c r="B81" s="39" t="str">
        <f>IFERROR(VLOOKUP(9465,Gastos[],2,FALSE),"BORRADO")</f>
        <v>BORRADO</v>
      </c>
      <c r="C81" s="40" t="str">
        <f>IFERROR(VLOOKUP(9465,Gastos[],3,FALSE),"BORRADO")</f>
        <v>BORRADO</v>
      </c>
      <c r="D81" s="41" t="str">
        <f>IFERROR(VLOOKUP(9465,Gastos[],4,FALSE),"BORRADO")</f>
        <v>BORRADO</v>
      </c>
      <c r="E81" s="42" t="str">
        <f>IFERROR(VLOOKUP(9465,Gastos[],5,FALSE),"BORRADO")</f>
        <v>BORRADO</v>
      </c>
      <c r="F81" s="41" t="str">
        <f>IFERROR(VLOOKUP(9465,Gastos[],6,FALSE),"BORRADO")</f>
        <v>BORRADO</v>
      </c>
      <c r="G81" s="40" t="str">
        <f>IFERROR(VLOOKUP(9465,Gastos[],7,FALSE),"BORRADO")</f>
        <v>BORRADO</v>
      </c>
      <c r="H81" s="40" t="str">
        <f>IFERROR(VLOOKUP(9465,Gastos[],8,FALSE),"BORRADO")</f>
        <v>BORRADO</v>
      </c>
      <c r="I81" s="40" t="str">
        <f>IFERROR(VLOOKUP(9465,Gastos[],9,FALSE),"BORRADO")</f>
        <v>BORRADO</v>
      </c>
    </row>
    <row r="82" spans="1:9">
      <c r="A82" s="38" t="s">
        <v>355</v>
      </c>
      <c r="B82" s="39" t="str">
        <f>IFERROR(VLOOKUP(9466,Gastos[],2,FALSE),"BORRADO")</f>
        <v>BORRADO</v>
      </c>
      <c r="C82" s="40" t="str">
        <f>IFERROR(VLOOKUP(9466,Gastos[],3,FALSE),"BORRADO")</f>
        <v>BORRADO</v>
      </c>
      <c r="D82" s="41" t="str">
        <f>IFERROR(VLOOKUP(9466,Gastos[],4,FALSE),"BORRADO")</f>
        <v>BORRADO</v>
      </c>
      <c r="E82" s="42" t="str">
        <f>IFERROR(VLOOKUP(9466,Gastos[],5,FALSE),"BORRADO")</f>
        <v>BORRADO</v>
      </c>
      <c r="F82" s="41" t="str">
        <f>IFERROR(VLOOKUP(9466,Gastos[],6,FALSE),"BORRADO")</f>
        <v>BORRADO</v>
      </c>
      <c r="G82" s="40" t="str">
        <f>IFERROR(VLOOKUP(9466,Gastos[],7,FALSE),"BORRADO")</f>
        <v>BORRADO</v>
      </c>
      <c r="H82" s="40" t="str">
        <f>IFERROR(VLOOKUP(9466,Gastos[],8,FALSE),"BORRADO")</f>
        <v>BORRADO</v>
      </c>
      <c r="I82" s="40" t="str">
        <f>IFERROR(VLOOKUP(9466,Gastos[],9,FALSE),"BORRADO")</f>
        <v>BORRADO</v>
      </c>
    </row>
    <row r="83" spans="1:9">
      <c r="A83" s="38" t="s">
        <v>355</v>
      </c>
      <c r="B83" s="39" t="str">
        <f>IFERROR(VLOOKUP(9467,Gastos[],2,FALSE),"BORRADO")</f>
        <v>BORRADO</v>
      </c>
      <c r="C83" s="40" t="str">
        <f>IFERROR(VLOOKUP(9467,Gastos[],3,FALSE),"BORRADO")</f>
        <v>BORRADO</v>
      </c>
      <c r="D83" s="41" t="str">
        <f>IFERROR(VLOOKUP(9467,Gastos[],4,FALSE),"BORRADO")</f>
        <v>BORRADO</v>
      </c>
      <c r="E83" s="42" t="str">
        <f>IFERROR(VLOOKUP(9467,Gastos[],5,FALSE),"BORRADO")</f>
        <v>BORRADO</v>
      </c>
      <c r="F83" s="41" t="str">
        <f>IFERROR(VLOOKUP(9467,Gastos[],6,FALSE),"BORRADO")</f>
        <v>BORRADO</v>
      </c>
      <c r="G83" s="40" t="str">
        <f>IFERROR(VLOOKUP(9467,Gastos[],7,FALSE),"BORRADO")</f>
        <v>BORRADO</v>
      </c>
      <c r="H83" s="40" t="str">
        <f>IFERROR(VLOOKUP(9467,Gastos[],8,FALSE),"BORRADO")</f>
        <v>BORRADO</v>
      </c>
      <c r="I83" s="40" t="str">
        <f>IFERROR(VLOOKUP(9467,Gastos[],9,FALSE),"BORRADO")</f>
        <v>BORRADO</v>
      </c>
    </row>
    <row r="84" spans="1:9">
      <c r="A84" s="38" t="s">
        <v>355</v>
      </c>
      <c r="B84" s="39" t="str">
        <f>IFERROR(VLOOKUP(9468,Gastos[],2,FALSE),"BORRADO")</f>
        <v>BORRADO</v>
      </c>
      <c r="C84" s="40" t="str">
        <f>IFERROR(VLOOKUP(9468,Gastos[],3,FALSE),"BORRADO")</f>
        <v>BORRADO</v>
      </c>
      <c r="D84" s="41" t="str">
        <f>IFERROR(VLOOKUP(9468,Gastos[],4,FALSE),"BORRADO")</f>
        <v>BORRADO</v>
      </c>
      <c r="E84" s="42" t="str">
        <f>IFERROR(VLOOKUP(9468,Gastos[],5,FALSE),"BORRADO")</f>
        <v>BORRADO</v>
      </c>
      <c r="F84" s="41" t="str">
        <f>IFERROR(VLOOKUP(9468,Gastos[],6,FALSE),"BORRADO")</f>
        <v>BORRADO</v>
      </c>
      <c r="G84" s="40" t="str">
        <f>IFERROR(VLOOKUP(9468,Gastos[],7,FALSE),"BORRADO")</f>
        <v>BORRADO</v>
      </c>
      <c r="H84" s="40" t="str">
        <f>IFERROR(VLOOKUP(9468,Gastos[],8,FALSE),"BORRADO")</f>
        <v>BORRADO</v>
      </c>
      <c r="I84" s="40" t="str">
        <f>IFERROR(VLOOKUP(9468,Gastos[],9,FALSE),"BORRADO")</f>
        <v>BORRADO</v>
      </c>
    </row>
    <row r="85" spans="1:9">
      <c r="A85" s="38" t="s">
        <v>355</v>
      </c>
      <c r="B85" s="39" t="str">
        <f>IFERROR(VLOOKUP(9469,Gastos[],2,FALSE),"BORRADO")</f>
        <v>BORRADO</v>
      </c>
      <c r="C85" s="40" t="str">
        <f>IFERROR(VLOOKUP(9469,Gastos[],3,FALSE),"BORRADO")</f>
        <v>BORRADO</v>
      </c>
      <c r="D85" s="41" t="str">
        <f>IFERROR(VLOOKUP(9469,Gastos[],4,FALSE),"BORRADO")</f>
        <v>BORRADO</v>
      </c>
      <c r="E85" s="42" t="str">
        <f>IFERROR(VLOOKUP(9469,Gastos[],5,FALSE),"BORRADO")</f>
        <v>BORRADO</v>
      </c>
      <c r="F85" s="41" t="str">
        <f>IFERROR(VLOOKUP(9469,Gastos[],6,FALSE),"BORRADO")</f>
        <v>BORRADO</v>
      </c>
      <c r="G85" s="40" t="str">
        <f>IFERROR(VLOOKUP(9469,Gastos[],7,FALSE),"BORRADO")</f>
        <v>BORRADO</v>
      </c>
      <c r="H85" s="40" t="str">
        <f>IFERROR(VLOOKUP(9469,Gastos[],8,FALSE),"BORRADO")</f>
        <v>BORRADO</v>
      </c>
      <c r="I85" s="40" t="str">
        <f>IFERROR(VLOOKUP(9469,Gastos[],9,FALSE),"BORRADO")</f>
        <v>BORRADO</v>
      </c>
    </row>
    <row r="86" spans="1:9">
      <c r="A86" s="38" t="s">
        <v>353</v>
      </c>
      <c r="B86" s="39" t="str">
        <f>IFERROR(VLOOKUP(1737,Chequeras[],2,FALSE),"BORRADO")</f>
        <v>BORRADO</v>
      </c>
      <c r="C86" s="40" t="str">
        <f>IFERROR(VLOOKUP(1737,Chequeras[],3,FALSE),"BORRADO")</f>
        <v>BORRADO</v>
      </c>
      <c r="D86" s="41" t="str">
        <f>IFERROR(VLOOKUP(1737,Chequeras[],4,FALSE),"BORRADO")</f>
        <v>BORRADO</v>
      </c>
      <c r="E86" s="42" t="str">
        <f>IFERROR(VLOOKUP(1737,Chequeras[],5,FALSE),"BORRADO")</f>
        <v>BORRADO</v>
      </c>
      <c r="F86" s="41" t="str">
        <f>IFERROR(VLOOKUP(1737,Chequeras[],6,FALSE),"BORRADO")</f>
        <v>BORRADO</v>
      </c>
      <c r="G86" s="40" t="str">
        <f>IFERROR(VLOOKUP(1737,Chequeras[],7,FALSE),"BORRADO")</f>
        <v>BORRADO</v>
      </c>
      <c r="H86" s="40" t="str">
        <f>IFERROR(VLOOKUP(1737,Chequeras[],8,FALSE),"BORRADO")</f>
        <v>BORRADO</v>
      </c>
      <c r="I86" s="40" t="str">
        <f>IFERROR(VLOOKUP(1737,Chequeras[],9,FALSE),"BORRADO")</f>
        <v>BORRADO</v>
      </c>
    </row>
    <row r="87" spans="1:9">
      <c r="A87" s="38" t="s">
        <v>354</v>
      </c>
      <c r="B87" s="39">
        <f>IFERROR(VLOOKUP(3147,Depositos[],2,FALSE),"BORRADO")</f>
        <v>42976</v>
      </c>
      <c r="C87" s="40" t="str">
        <f>IFERROR(VLOOKUP(3147,Depositos[],3,FALSE),"BORRADO")</f>
        <v>RR CHEQUE</v>
      </c>
      <c r="D87" s="41">
        <f>IFERROR(VLOOKUP(3147,Depositos[],4,FALSE),"BORRADO")</f>
        <v>351405</v>
      </c>
      <c r="E87" s="42">
        <f>IFERROR(VLOOKUP(3147,Depositos[],5,FALSE),"BORRADO")</f>
        <v>42977</v>
      </c>
      <c r="F87" s="41">
        <f ca="1">IFERROR(VLOOKUP(3147,Depositos[],6,FALSE),"BORRADO")</f>
        <v>91562</v>
      </c>
      <c r="G87" s="40" t="str">
        <f>IFERROR(VLOOKUP(3147,Depositos[],7,FALSE),"BORRADO")</f>
        <v>MACRO 68034687</v>
      </c>
      <c r="H87" s="40">
        <f>IFERROR(VLOOKUP(3147,Depositos[],8,FALSE),"BORRADO")</f>
        <v>0</v>
      </c>
      <c r="I87" s="40">
        <f>IFERROR(VLOOKUP(3147,Depositos[],9,FALSE),"BORRADO")</f>
        <v>0</v>
      </c>
    </row>
    <row r="88" spans="1:9">
      <c r="A88" s="38" t="s">
        <v>353</v>
      </c>
      <c r="B88" s="39" t="str">
        <f>IFERROR(VLOOKUP(1738,Chequeras[],2,FALSE),"BORRADO")</f>
        <v>BORRADO</v>
      </c>
      <c r="C88" s="40" t="str">
        <f>IFERROR(VLOOKUP(1738,Chequeras[],3,FALSE),"BORRADO")</f>
        <v>BORRADO</v>
      </c>
      <c r="D88" s="41" t="str">
        <f>IFERROR(VLOOKUP(1738,Chequeras[],4,FALSE),"BORRADO")</f>
        <v>BORRADO</v>
      </c>
      <c r="E88" s="42" t="str">
        <f>IFERROR(VLOOKUP(1738,Chequeras[],5,FALSE),"BORRADO")</f>
        <v>BORRADO</v>
      </c>
      <c r="F88" s="41" t="str">
        <f>IFERROR(VLOOKUP(1738,Chequeras[],6,FALSE),"BORRADO")</f>
        <v>BORRADO</v>
      </c>
      <c r="G88" s="40" t="str">
        <f>IFERROR(VLOOKUP(1738,Chequeras[],7,FALSE),"BORRADO")</f>
        <v>BORRADO</v>
      </c>
      <c r="H88" s="40" t="str">
        <f>IFERROR(VLOOKUP(1738,Chequeras[],8,FALSE),"BORRADO")</f>
        <v>BORRADO</v>
      </c>
      <c r="I88" s="40" t="str">
        <f>IFERROR(VLOOKUP(1738,Chequeras[],9,FALSE),"BORRADO")</f>
        <v>BORRADO</v>
      </c>
    </row>
    <row r="89" spans="1:9">
      <c r="A89" s="38" t="s">
        <v>353</v>
      </c>
      <c r="B89" s="39" t="str">
        <f>IFERROR(VLOOKUP(1739,Chequeras[],2,FALSE),"BORRADO")</f>
        <v>BORRADO</v>
      </c>
      <c r="C89" s="40" t="str">
        <f>IFERROR(VLOOKUP(1739,Chequeras[],3,FALSE),"BORRADO")</f>
        <v>BORRADO</v>
      </c>
      <c r="D89" s="41" t="str">
        <f>IFERROR(VLOOKUP(1739,Chequeras[],4,FALSE),"BORRADO")</f>
        <v>BORRADO</v>
      </c>
      <c r="E89" s="42" t="str">
        <f>IFERROR(VLOOKUP(1739,Chequeras[],5,FALSE),"BORRADO")</f>
        <v>BORRADO</v>
      </c>
      <c r="F89" s="41" t="str">
        <f>IFERROR(VLOOKUP(1739,Chequeras[],6,FALSE),"BORRADO")</f>
        <v>BORRADO</v>
      </c>
      <c r="G89" s="40" t="str">
        <f>IFERROR(VLOOKUP(1739,Chequeras[],7,FALSE),"BORRADO")</f>
        <v>BORRADO</v>
      </c>
      <c r="H89" s="40" t="str">
        <f>IFERROR(VLOOKUP(1739,Chequeras[],8,FALSE),"BORRADO")</f>
        <v>BORRADO</v>
      </c>
      <c r="I89" s="40" t="str">
        <f>IFERROR(VLOOKUP(1739,Chequeras[],9,FALSE),"BORRADO")</f>
        <v>BORRADO</v>
      </c>
    </row>
    <row r="90" spans="1:9">
      <c r="A90" s="38" t="s">
        <v>353</v>
      </c>
      <c r="B90" s="39">
        <f>IFERROR(VLOOKUP(2108,Chequeras[],2,FALSE),"BORRADO")</f>
        <v>42977</v>
      </c>
      <c r="C90" s="40" t="str">
        <f>IFERROR(VLOOKUP(2108,Chequeras[],3,FALSE),"BORRADO")</f>
        <v>01656342</v>
      </c>
      <c r="D90" s="41">
        <f>IFERROR(VLOOKUP(2108,Chequeras[],4,FALSE),"BORRADO")</f>
        <v>-49000</v>
      </c>
      <c r="E90" s="42">
        <f>IFERROR(VLOOKUP(2108,Chequeras[],5,FALSE),"BORRADO")</f>
        <v>42977</v>
      </c>
      <c r="F90" s="41">
        <f ca="1">IFERROR(VLOOKUP(2108,Chequeras[],6,FALSE),"BORRADO")</f>
        <v>43506</v>
      </c>
      <c r="G90" s="40" t="str">
        <f>IFERROR(VLOOKUP(2108,Chequeras[],7,FALSE),"BORRADO")</f>
        <v>Editora</v>
      </c>
      <c r="H90" s="40" t="str">
        <f>IFERROR(VLOOKUP(2108,Chequeras[],8,FALSE),"BORRADO")</f>
        <v>RR</v>
      </c>
      <c r="I90" s="40">
        <f>IFERROR(VLOOKUP(2108,Chequeras[],9,FALSE),"BORRADO")</f>
        <v>93</v>
      </c>
    </row>
    <row r="91" spans="1:9">
      <c r="A91" s="38" t="s">
        <v>353</v>
      </c>
      <c r="B91" s="39">
        <f>IFERROR(VLOOKUP(2109,Chequeras[],2,FALSE),"BORRADO")</f>
        <v>42977</v>
      </c>
      <c r="C91" s="40" t="str">
        <f>IFERROR(VLOOKUP(2109,Chequeras[],3,FALSE),"BORRADO")</f>
        <v>01656343</v>
      </c>
      <c r="D91" s="41">
        <f>IFERROR(VLOOKUP(2109,Chequeras[],4,FALSE),"BORRADO")</f>
        <v>-37400</v>
      </c>
      <c r="E91" s="42">
        <f>IFERROR(VLOOKUP(2109,Chequeras[],5,FALSE),"BORRADO")</f>
        <v>42977</v>
      </c>
      <c r="F91" s="41">
        <f ca="1">IFERROR(VLOOKUP(2109,Chequeras[],6,FALSE),"BORRADO")</f>
        <v>30058</v>
      </c>
      <c r="G91" s="40" t="str">
        <f>IFERROR(VLOOKUP(2109,Chequeras[],7,FALSE),"BORRADO")</f>
        <v>Editora</v>
      </c>
      <c r="H91" s="40" t="str">
        <f>IFERROR(VLOOKUP(2109,Chequeras[],8,FALSE),"BORRADO")</f>
        <v>RR</v>
      </c>
      <c r="I91" s="40">
        <f>IFERROR(VLOOKUP(2109,Chequeras[],9,FALSE),"BORRADO")</f>
        <v>93</v>
      </c>
    </row>
    <row r="92" spans="1:9">
      <c r="A92" s="38" t="s">
        <v>354</v>
      </c>
      <c r="B92" s="39">
        <f>IFERROR(VLOOKUP(3144,Depositos[],2,FALSE),"BORRADO")</f>
        <v>42977</v>
      </c>
      <c r="C92" s="40" t="str">
        <f>IFERROR(VLOOKUP(3144,Depositos[],3,FALSE),"BORRADO")</f>
        <v>EFECTIVO</v>
      </c>
      <c r="D92" s="41">
        <f>IFERROR(VLOOKUP(3144,Depositos[],4,FALSE),"BORRADO")</f>
        <v>49025.37</v>
      </c>
      <c r="E92" s="42">
        <f>IFERROR(VLOOKUP(3144,Depositos[],5,FALSE),"BORRADO")</f>
        <v>42977</v>
      </c>
      <c r="F92" s="41">
        <f ca="1">IFERROR(VLOOKUP(3144,Depositos[],6,FALSE),"BORRADO")</f>
        <v>41036</v>
      </c>
      <c r="G92" s="40" t="str">
        <f>IFERROR(VLOOKUP(3144,Depositos[],7,FALSE),"BORRADO")</f>
        <v>EFECTIVO RR</v>
      </c>
      <c r="H92" s="40">
        <f>IFERROR(VLOOKUP(3144,Depositos[],8,FALSE),"BORRADO")</f>
        <v>0</v>
      </c>
      <c r="I92" s="40">
        <f>IFERROR(VLOOKUP(3144,Depositos[],9,FALSE),"BORRADO")</f>
        <v>0</v>
      </c>
    </row>
    <row r="93" spans="1:9">
      <c r="A93" s="38" t="s">
        <v>354</v>
      </c>
      <c r="B93" s="39">
        <f>IFERROR(VLOOKUP(3145,Depositos[],2,FALSE),"BORRADO")</f>
        <v>42977</v>
      </c>
      <c r="C93" s="40" t="str">
        <f>IFERROR(VLOOKUP(3145,Depositos[],3,FALSE),"BORRADO")</f>
        <v>EFECTIVO</v>
      </c>
      <c r="D93" s="41">
        <f>IFERROR(VLOOKUP(3145,Depositos[],4,FALSE),"BORRADO")</f>
        <v>37405.760000000002</v>
      </c>
      <c r="E93" s="42">
        <f>IFERROR(VLOOKUP(3145,Depositos[],5,FALSE),"BORRADO")</f>
        <v>42977</v>
      </c>
      <c r="F93" s="41">
        <f ca="1">IFERROR(VLOOKUP(3145,Depositos[],6,FALSE),"BORRADO")</f>
        <v>14733</v>
      </c>
      <c r="G93" s="40" t="str">
        <f>IFERROR(VLOOKUP(3145,Depositos[],7,FALSE),"BORRADO")</f>
        <v>EFECTIVO RR</v>
      </c>
      <c r="H93" s="40">
        <f>IFERROR(VLOOKUP(3145,Depositos[],8,FALSE),"BORRADO")</f>
        <v>0</v>
      </c>
      <c r="I93" s="40">
        <f>IFERROR(VLOOKUP(3145,Depositos[],9,FALSE),"BORRADO")</f>
        <v>0</v>
      </c>
    </row>
    <row r="94" spans="1:9">
      <c r="A94" s="38" t="s">
        <v>354</v>
      </c>
      <c r="B94" s="39">
        <f>IFERROR(VLOOKUP(3146,Depositos[],2,FALSE),"BORRADO")</f>
        <v>42977</v>
      </c>
      <c r="C94" s="40" t="str">
        <f>IFERROR(VLOOKUP(3146,Depositos[],3,FALSE),"BORRADO")</f>
        <v>EFECTIVO</v>
      </c>
      <c r="D94" s="41">
        <f>IFERROR(VLOOKUP(3146,Depositos[],4,FALSE),"BORRADO")</f>
        <v>150000</v>
      </c>
      <c r="E94" s="42">
        <f>IFERROR(VLOOKUP(3146,Depositos[],5,FALSE),"BORRADO")</f>
        <v>42977</v>
      </c>
      <c r="F94" s="41">
        <f ca="1">IFERROR(VLOOKUP(3146,Depositos[],6,FALSE),"BORRADO")</f>
        <v>61232</v>
      </c>
      <c r="G94" s="40" t="str">
        <f>IFERROR(VLOOKUP(3146,Depositos[],7,FALSE),"BORRADO")</f>
        <v>EFECTIVO SALTA</v>
      </c>
      <c r="H94" s="40">
        <f>IFERROR(VLOOKUP(3146,Depositos[],8,FALSE),"BORRADO")</f>
        <v>0</v>
      </c>
      <c r="I94" s="40">
        <f>IFERROR(VLOOKUP(3146,Depositos[],9,FALSE),"BORRADO")</f>
        <v>0</v>
      </c>
    </row>
    <row r="95" spans="1:9">
      <c r="A95" s="38" t="s">
        <v>355</v>
      </c>
      <c r="B95" s="39" t="str">
        <f>IFERROR(VLOOKUP(9470,Gastos[],2,FALSE),"BORRADO")</f>
        <v>BORRADO</v>
      </c>
      <c r="C95" s="40" t="str">
        <f>IFERROR(VLOOKUP(9470,Gastos[],3,FALSE),"BORRADO")</f>
        <v>BORRADO</v>
      </c>
      <c r="D95" s="41" t="str">
        <f>IFERROR(VLOOKUP(9470,Gastos[],4,FALSE),"BORRADO")</f>
        <v>BORRADO</v>
      </c>
      <c r="E95" s="42" t="str">
        <f>IFERROR(VLOOKUP(9470,Gastos[],5,FALSE),"BORRADO")</f>
        <v>BORRADO</v>
      </c>
      <c r="F95" s="41" t="str">
        <f>IFERROR(VLOOKUP(9470,Gastos[],6,FALSE),"BORRADO")</f>
        <v>BORRADO</v>
      </c>
      <c r="G95" s="40" t="str">
        <f>IFERROR(VLOOKUP(9470,Gastos[],7,FALSE),"BORRADO")</f>
        <v>BORRADO</v>
      </c>
      <c r="H95" s="40" t="str">
        <f>IFERROR(VLOOKUP(9470,Gastos[],8,FALSE),"BORRADO")</f>
        <v>BORRADO</v>
      </c>
      <c r="I95" s="40" t="str">
        <f>IFERROR(VLOOKUP(9470,Gastos[],9,FALSE),"BORRADO")</f>
        <v>BORRADO</v>
      </c>
    </row>
    <row r="96" spans="1:9">
      <c r="A96" s="38" t="s">
        <v>355</v>
      </c>
      <c r="B96" s="39" t="str">
        <f>IFERROR(VLOOKUP(9471,Gastos[],2,FALSE),"BORRADO")</f>
        <v>BORRADO</v>
      </c>
      <c r="C96" s="40" t="str">
        <f>IFERROR(VLOOKUP(9471,Gastos[],3,FALSE),"BORRADO")</f>
        <v>BORRADO</v>
      </c>
      <c r="D96" s="41" t="str">
        <f>IFERROR(VLOOKUP(9471,Gastos[],4,FALSE),"BORRADO")</f>
        <v>BORRADO</v>
      </c>
      <c r="E96" s="42" t="str">
        <f>IFERROR(VLOOKUP(9471,Gastos[],5,FALSE),"BORRADO")</f>
        <v>BORRADO</v>
      </c>
      <c r="F96" s="41" t="str">
        <f>IFERROR(VLOOKUP(9471,Gastos[],6,FALSE),"BORRADO")</f>
        <v>BORRADO</v>
      </c>
      <c r="G96" s="40" t="str">
        <f>IFERROR(VLOOKUP(9471,Gastos[],7,FALSE),"BORRADO")</f>
        <v>BORRADO</v>
      </c>
      <c r="H96" s="40" t="str">
        <f>IFERROR(VLOOKUP(9471,Gastos[],8,FALSE),"BORRADO")</f>
        <v>BORRADO</v>
      </c>
      <c r="I96" s="40" t="str">
        <f>IFERROR(VLOOKUP(9471,Gastos[],9,FALSE),"BORRADO")</f>
        <v>BORRADO</v>
      </c>
    </row>
    <row r="97" spans="1:9">
      <c r="A97" s="38" t="s">
        <v>355</v>
      </c>
      <c r="B97" s="39" t="str">
        <f>IFERROR(VLOOKUP(9472,Gastos[],2,FALSE),"BORRADO")</f>
        <v>BORRADO</v>
      </c>
      <c r="C97" s="40" t="str">
        <f>IFERROR(VLOOKUP(9472,Gastos[],3,FALSE),"BORRADO")</f>
        <v>BORRADO</v>
      </c>
      <c r="D97" s="41" t="str">
        <f>IFERROR(VLOOKUP(9472,Gastos[],4,FALSE),"BORRADO")</f>
        <v>BORRADO</v>
      </c>
      <c r="E97" s="42" t="str">
        <f>IFERROR(VLOOKUP(9472,Gastos[],5,FALSE),"BORRADO")</f>
        <v>BORRADO</v>
      </c>
      <c r="F97" s="41" t="str">
        <f>IFERROR(VLOOKUP(9472,Gastos[],6,FALSE),"BORRADO")</f>
        <v>BORRADO</v>
      </c>
      <c r="G97" s="40" t="str">
        <f>IFERROR(VLOOKUP(9472,Gastos[],7,FALSE),"BORRADO")</f>
        <v>BORRADO</v>
      </c>
      <c r="H97" s="40" t="str">
        <f>IFERROR(VLOOKUP(9472,Gastos[],8,FALSE),"BORRADO")</f>
        <v>BORRADO</v>
      </c>
      <c r="I97" s="40" t="str">
        <f>IFERROR(VLOOKUP(9472,Gastos[],9,FALSE),"BORRADO")</f>
        <v>BORRADO</v>
      </c>
    </row>
    <row r="98" spans="1:9">
      <c r="A98" s="38" t="s">
        <v>355</v>
      </c>
      <c r="B98" s="39" t="str">
        <f>IFERROR(VLOOKUP(9473,Gastos[],2,FALSE),"BORRADO")</f>
        <v>BORRADO</v>
      </c>
      <c r="C98" s="40" t="str">
        <f>IFERROR(VLOOKUP(9473,Gastos[],3,FALSE),"BORRADO")</f>
        <v>BORRADO</v>
      </c>
      <c r="D98" s="41" t="str">
        <f>IFERROR(VLOOKUP(9473,Gastos[],4,FALSE),"BORRADO")</f>
        <v>BORRADO</v>
      </c>
      <c r="E98" s="42" t="str">
        <f>IFERROR(VLOOKUP(9473,Gastos[],5,FALSE),"BORRADO")</f>
        <v>BORRADO</v>
      </c>
      <c r="F98" s="41" t="str">
        <f>IFERROR(VLOOKUP(9473,Gastos[],6,FALSE),"BORRADO")</f>
        <v>BORRADO</v>
      </c>
      <c r="G98" s="40" t="str">
        <f>IFERROR(VLOOKUP(9473,Gastos[],7,FALSE),"BORRADO")</f>
        <v>BORRADO</v>
      </c>
      <c r="H98" s="40" t="str">
        <f>IFERROR(VLOOKUP(9473,Gastos[],8,FALSE),"BORRADO")</f>
        <v>BORRADO</v>
      </c>
      <c r="I98" s="40" t="str">
        <f>IFERROR(VLOOKUP(9473,Gastos[],9,FALSE),"BORRADO")</f>
        <v>BORRADO</v>
      </c>
    </row>
    <row r="99" spans="1:9">
      <c r="A99" s="38" t="s">
        <v>355</v>
      </c>
      <c r="B99" s="39" t="str">
        <f>IFERROR(VLOOKUP(9474,Gastos[],2,FALSE),"BORRADO")</f>
        <v>BORRADO</v>
      </c>
      <c r="C99" s="40" t="str">
        <f>IFERROR(VLOOKUP(9474,Gastos[],3,FALSE),"BORRADO")</f>
        <v>BORRADO</v>
      </c>
      <c r="D99" s="41" t="str">
        <f>IFERROR(VLOOKUP(9474,Gastos[],4,FALSE),"BORRADO")</f>
        <v>BORRADO</v>
      </c>
      <c r="E99" s="42" t="str">
        <f>IFERROR(VLOOKUP(9474,Gastos[],5,FALSE),"BORRADO")</f>
        <v>BORRADO</v>
      </c>
      <c r="F99" s="41" t="str">
        <f>IFERROR(VLOOKUP(9474,Gastos[],6,FALSE),"BORRADO")</f>
        <v>BORRADO</v>
      </c>
      <c r="G99" s="40" t="str">
        <f>IFERROR(VLOOKUP(9474,Gastos[],7,FALSE),"BORRADO")</f>
        <v>BORRADO</v>
      </c>
      <c r="H99" s="40" t="str">
        <f>IFERROR(VLOOKUP(9474,Gastos[],8,FALSE),"BORRADO")</f>
        <v>BORRADO</v>
      </c>
      <c r="I99" s="40" t="str">
        <f>IFERROR(VLOOKUP(9474,Gastos[],9,FALSE),"BORRADO")</f>
        <v>BORRADO</v>
      </c>
    </row>
    <row r="100" spans="1:9">
      <c r="A100" s="38" t="s">
        <v>355</v>
      </c>
      <c r="B100" s="39" t="str">
        <f>IFERROR(VLOOKUP(9475,Gastos[],2,FALSE),"BORRADO")</f>
        <v>BORRADO</v>
      </c>
      <c r="C100" s="40" t="str">
        <f>IFERROR(VLOOKUP(9475,Gastos[],3,FALSE),"BORRADO")</f>
        <v>BORRADO</v>
      </c>
      <c r="D100" s="41" t="str">
        <f>IFERROR(VLOOKUP(9475,Gastos[],4,FALSE),"BORRADO")</f>
        <v>BORRADO</v>
      </c>
      <c r="E100" s="42" t="str">
        <f>IFERROR(VLOOKUP(9475,Gastos[],5,FALSE),"BORRADO")</f>
        <v>BORRADO</v>
      </c>
      <c r="F100" s="41" t="str">
        <f>IFERROR(VLOOKUP(9475,Gastos[],6,FALSE),"BORRADO")</f>
        <v>BORRADO</v>
      </c>
      <c r="G100" s="40" t="str">
        <f>IFERROR(VLOOKUP(9475,Gastos[],7,FALSE),"BORRADO")</f>
        <v>BORRADO</v>
      </c>
      <c r="H100" s="40" t="str">
        <f>IFERROR(VLOOKUP(9475,Gastos[],8,FALSE),"BORRADO")</f>
        <v>BORRADO</v>
      </c>
      <c r="I100" s="40" t="str">
        <f>IFERROR(VLOOKUP(9475,Gastos[],9,FALSE),"BORRADO")</f>
        <v>BORRADO</v>
      </c>
    </row>
    <row r="101" spans="1:9">
      <c r="A101" s="38" t="s">
        <v>355</v>
      </c>
      <c r="B101" s="39" t="str">
        <f>IFERROR(VLOOKUP(9476,Gastos[],2,FALSE),"BORRADO")</f>
        <v>BORRADO</v>
      </c>
      <c r="C101" s="40" t="str">
        <f>IFERROR(VLOOKUP(9476,Gastos[],3,FALSE),"BORRADO")</f>
        <v>BORRADO</v>
      </c>
      <c r="D101" s="41" t="str">
        <f>IFERROR(VLOOKUP(9476,Gastos[],4,FALSE),"BORRADO")</f>
        <v>BORRADO</v>
      </c>
      <c r="E101" s="42" t="str">
        <f>IFERROR(VLOOKUP(9476,Gastos[],5,FALSE),"BORRADO")</f>
        <v>BORRADO</v>
      </c>
      <c r="F101" s="41" t="str">
        <f>IFERROR(VLOOKUP(9476,Gastos[],6,FALSE),"BORRADO")</f>
        <v>BORRADO</v>
      </c>
      <c r="G101" s="40" t="str">
        <f>IFERROR(VLOOKUP(9476,Gastos[],7,FALSE),"BORRADO")</f>
        <v>BORRADO</v>
      </c>
      <c r="H101" s="40" t="str">
        <f>IFERROR(VLOOKUP(9476,Gastos[],8,FALSE),"BORRADO")</f>
        <v>BORRADO</v>
      </c>
      <c r="I101" s="40" t="str">
        <f>IFERROR(VLOOKUP(9476,Gastos[],9,FALSE),"BORRADO")</f>
        <v>BORRADO</v>
      </c>
    </row>
    <row r="102" spans="1:9">
      <c r="A102" s="38" t="s">
        <v>355</v>
      </c>
      <c r="B102" s="39" t="str">
        <f>IFERROR(VLOOKUP(9477,Gastos[],2,FALSE),"BORRADO")</f>
        <v>BORRADO</v>
      </c>
      <c r="C102" s="40" t="str">
        <f>IFERROR(VLOOKUP(9477,Gastos[],3,FALSE),"BORRADO")</f>
        <v>BORRADO</v>
      </c>
      <c r="D102" s="41" t="str">
        <f>IFERROR(VLOOKUP(9477,Gastos[],4,FALSE),"BORRADO")</f>
        <v>BORRADO</v>
      </c>
      <c r="E102" s="42" t="str">
        <f>IFERROR(VLOOKUP(9477,Gastos[],5,FALSE),"BORRADO")</f>
        <v>BORRADO</v>
      </c>
      <c r="F102" s="41" t="str">
        <f>IFERROR(VLOOKUP(9477,Gastos[],6,FALSE),"BORRADO")</f>
        <v>BORRADO</v>
      </c>
      <c r="G102" s="40" t="str">
        <f>IFERROR(VLOOKUP(9477,Gastos[],7,FALSE),"BORRADO")</f>
        <v>BORRADO</v>
      </c>
      <c r="H102" s="40" t="str">
        <f>IFERROR(VLOOKUP(9477,Gastos[],8,FALSE),"BORRADO")</f>
        <v>BORRADO</v>
      </c>
      <c r="I102" s="40" t="str">
        <f>IFERROR(VLOOKUP(9477,Gastos[],9,FALSE),"BORRADO")</f>
        <v>BORRADO</v>
      </c>
    </row>
    <row r="103" spans="1:9">
      <c r="A103" s="38" t="s">
        <v>355</v>
      </c>
      <c r="B103" s="39" t="str">
        <f>IFERROR(VLOOKUP(9478,Gastos[],2,FALSE),"BORRADO")</f>
        <v>BORRADO</v>
      </c>
      <c r="C103" s="40" t="str">
        <f>IFERROR(VLOOKUP(9478,Gastos[],3,FALSE),"BORRADO")</f>
        <v>BORRADO</v>
      </c>
      <c r="D103" s="41" t="str">
        <f>IFERROR(VLOOKUP(9478,Gastos[],4,FALSE),"BORRADO")</f>
        <v>BORRADO</v>
      </c>
      <c r="E103" s="42" t="str">
        <f>IFERROR(VLOOKUP(9478,Gastos[],5,FALSE),"BORRADO")</f>
        <v>BORRADO</v>
      </c>
      <c r="F103" s="41" t="str">
        <f>IFERROR(VLOOKUP(9478,Gastos[],6,FALSE),"BORRADO")</f>
        <v>BORRADO</v>
      </c>
      <c r="G103" s="40" t="str">
        <f>IFERROR(VLOOKUP(9478,Gastos[],7,FALSE),"BORRADO")</f>
        <v>BORRADO</v>
      </c>
      <c r="H103" s="40" t="str">
        <f>IFERROR(VLOOKUP(9478,Gastos[],8,FALSE),"BORRADO")</f>
        <v>BORRADO</v>
      </c>
      <c r="I103" s="40" t="str">
        <f>IFERROR(VLOOKUP(9478,Gastos[],9,FALSE),"BORRADO")</f>
        <v>BORRADO</v>
      </c>
    </row>
    <row r="104" spans="1:9">
      <c r="A104" s="38" t="s">
        <v>355</v>
      </c>
      <c r="B104" s="39" t="str">
        <f>IFERROR(VLOOKUP(9479,Gastos[],2,FALSE),"BORRADO")</f>
        <v>BORRADO</v>
      </c>
      <c r="C104" s="40" t="str">
        <f>IFERROR(VLOOKUP(9479,Gastos[],3,FALSE),"BORRADO")</f>
        <v>BORRADO</v>
      </c>
      <c r="D104" s="41" t="str">
        <f>IFERROR(VLOOKUP(9479,Gastos[],4,FALSE),"BORRADO")</f>
        <v>BORRADO</v>
      </c>
      <c r="E104" s="42" t="str">
        <f>IFERROR(VLOOKUP(9479,Gastos[],5,FALSE),"BORRADO")</f>
        <v>BORRADO</v>
      </c>
      <c r="F104" s="41" t="str">
        <f>IFERROR(VLOOKUP(9479,Gastos[],6,FALSE),"BORRADO")</f>
        <v>BORRADO</v>
      </c>
      <c r="G104" s="40" t="str">
        <f>IFERROR(VLOOKUP(9479,Gastos[],7,FALSE),"BORRADO")</f>
        <v>BORRADO</v>
      </c>
      <c r="H104" s="40" t="str">
        <f>IFERROR(VLOOKUP(9479,Gastos[],8,FALSE),"BORRADO")</f>
        <v>BORRADO</v>
      </c>
      <c r="I104" s="40" t="str">
        <f>IFERROR(VLOOKUP(9479,Gastos[],9,FALSE),"BORRADO")</f>
        <v>BORRADO</v>
      </c>
    </row>
    <row r="105" spans="1:9">
      <c r="A105" s="38" t="s">
        <v>355</v>
      </c>
      <c r="B105" s="39" t="str">
        <f>IFERROR(VLOOKUP(9480,Gastos[],2,FALSE),"BORRADO")</f>
        <v>BORRADO</v>
      </c>
      <c r="C105" s="40" t="str">
        <f>IFERROR(VLOOKUP(9480,Gastos[],3,FALSE),"BORRADO")</f>
        <v>BORRADO</v>
      </c>
      <c r="D105" s="41" t="str">
        <f>IFERROR(VLOOKUP(9480,Gastos[],4,FALSE),"BORRADO")</f>
        <v>BORRADO</v>
      </c>
      <c r="E105" s="42" t="str">
        <f>IFERROR(VLOOKUP(9480,Gastos[],5,FALSE),"BORRADO")</f>
        <v>BORRADO</v>
      </c>
      <c r="F105" s="41" t="str">
        <f>IFERROR(VLOOKUP(9480,Gastos[],6,FALSE),"BORRADO")</f>
        <v>BORRADO</v>
      </c>
      <c r="G105" s="40" t="str">
        <f>IFERROR(VLOOKUP(9480,Gastos[],7,FALSE),"BORRADO")</f>
        <v>BORRADO</v>
      </c>
      <c r="H105" s="40" t="str">
        <f>IFERROR(VLOOKUP(9480,Gastos[],8,FALSE),"BORRADO")</f>
        <v>BORRADO</v>
      </c>
      <c r="I105" s="40" t="str">
        <f>IFERROR(VLOOKUP(9480,Gastos[],9,FALSE),"BORRADO")</f>
        <v>BORRADO</v>
      </c>
    </row>
    <row r="106" spans="1:9">
      <c r="A106" s="38" t="s">
        <v>355</v>
      </c>
      <c r="B106" s="39" t="str">
        <f>IFERROR(VLOOKUP(9481,Gastos[],2,FALSE),"BORRADO")</f>
        <v>BORRADO</v>
      </c>
      <c r="C106" s="40" t="str">
        <f>IFERROR(VLOOKUP(9481,Gastos[],3,FALSE),"BORRADO")</f>
        <v>BORRADO</v>
      </c>
      <c r="D106" s="41" t="str">
        <f>IFERROR(VLOOKUP(9481,Gastos[],4,FALSE),"BORRADO")</f>
        <v>BORRADO</v>
      </c>
      <c r="E106" s="42" t="str">
        <f>IFERROR(VLOOKUP(9481,Gastos[],5,FALSE),"BORRADO")</f>
        <v>BORRADO</v>
      </c>
      <c r="F106" s="41" t="str">
        <f>IFERROR(VLOOKUP(9481,Gastos[],6,FALSE),"BORRADO")</f>
        <v>BORRADO</v>
      </c>
      <c r="G106" s="40" t="str">
        <f>IFERROR(VLOOKUP(9481,Gastos[],7,FALSE),"BORRADO")</f>
        <v>BORRADO</v>
      </c>
      <c r="H106" s="40" t="str">
        <f>IFERROR(VLOOKUP(9481,Gastos[],8,FALSE),"BORRADO")</f>
        <v>BORRADO</v>
      </c>
      <c r="I106" s="40" t="str">
        <f>IFERROR(VLOOKUP(9481,Gastos[],9,FALSE),"BORRADO")</f>
        <v>BORRADO</v>
      </c>
    </row>
    <row r="107" spans="1:9">
      <c r="A107" s="38" t="s">
        <v>355</v>
      </c>
      <c r="B107" s="39" t="str">
        <f>IFERROR(VLOOKUP(9482,Gastos[],2,FALSE),"BORRADO")</f>
        <v>BORRADO</v>
      </c>
      <c r="C107" s="40" t="str">
        <f>IFERROR(VLOOKUP(9482,Gastos[],3,FALSE),"BORRADO")</f>
        <v>BORRADO</v>
      </c>
      <c r="D107" s="41" t="str">
        <f>IFERROR(VLOOKUP(9482,Gastos[],4,FALSE),"BORRADO")</f>
        <v>BORRADO</v>
      </c>
      <c r="E107" s="42" t="str">
        <f>IFERROR(VLOOKUP(9482,Gastos[],5,FALSE),"BORRADO")</f>
        <v>BORRADO</v>
      </c>
      <c r="F107" s="41" t="str">
        <f>IFERROR(VLOOKUP(9482,Gastos[],6,FALSE),"BORRADO")</f>
        <v>BORRADO</v>
      </c>
      <c r="G107" s="40" t="str">
        <f>IFERROR(VLOOKUP(9482,Gastos[],7,FALSE),"BORRADO")</f>
        <v>BORRADO</v>
      </c>
      <c r="H107" s="40" t="str">
        <f>IFERROR(VLOOKUP(9482,Gastos[],8,FALSE),"BORRADO")</f>
        <v>BORRADO</v>
      </c>
      <c r="I107" s="40" t="str">
        <f>IFERROR(VLOOKUP(9482,Gastos[],9,FALSE),"BORRADO")</f>
        <v>BORRADO</v>
      </c>
    </row>
    <row r="108" spans="1:9">
      <c r="A108" s="38" t="s">
        <v>355</v>
      </c>
      <c r="B108" s="39" t="str">
        <f>IFERROR(VLOOKUP(9483,Gastos[],2,FALSE),"BORRADO")</f>
        <v>BORRADO</v>
      </c>
      <c r="C108" s="40" t="str">
        <f>IFERROR(VLOOKUP(9483,Gastos[],3,FALSE),"BORRADO")</f>
        <v>BORRADO</v>
      </c>
      <c r="D108" s="41" t="str">
        <f>IFERROR(VLOOKUP(9483,Gastos[],4,FALSE),"BORRADO")</f>
        <v>BORRADO</v>
      </c>
      <c r="E108" s="42" t="str">
        <f>IFERROR(VLOOKUP(9483,Gastos[],5,FALSE),"BORRADO")</f>
        <v>BORRADO</v>
      </c>
      <c r="F108" s="41" t="str">
        <f>IFERROR(VLOOKUP(9483,Gastos[],6,FALSE),"BORRADO")</f>
        <v>BORRADO</v>
      </c>
      <c r="G108" s="40" t="str">
        <f>IFERROR(VLOOKUP(9483,Gastos[],7,FALSE),"BORRADO")</f>
        <v>BORRADO</v>
      </c>
      <c r="H108" s="40" t="str">
        <f>IFERROR(VLOOKUP(9483,Gastos[],8,FALSE),"BORRADO")</f>
        <v>BORRADO</v>
      </c>
      <c r="I108" s="40" t="str">
        <f>IFERROR(VLOOKUP(9483,Gastos[],9,FALSE),"BORRADO")</f>
        <v>BORRADO</v>
      </c>
    </row>
    <row r="109" spans="1:9">
      <c r="A109" s="38" t="s">
        <v>355</v>
      </c>
      <c r="B109" s="39" t="str">
        <f>IFERROR(VLOOKUP(9484,Gastos[],2,FALSE),"BORRADO")</f>
        <v>BORRADO</v>
      </c>
      <c r="C109" s="40" t="str">
        <f>IFERROR(VLOOKUP(9484,Gastos[],3,FALSE),"BORRADO")</f>
        <v>BORRADO</v>
      </c>
      <c r="D109" s="41" t="str">
        <f>IFERROR(VLOOKUP(9484,Gastos[],4,FALSE),"BORRADO")</f>
        <v>BORRADO</v>
      </c>
      <c r="E109" s="42" t="str">
        <f>IFERROR(VLOOKUP(9484,Gastos[],5,FALSE),"BORRADO")</f>
        <v>BORRADO</v>
      </c>
      <c r="F109" s="41" t="str">
        <f>IFERROR(VLOOKUP(9484,Gastos[],6,FALSE),"BORRADO")</f>
        <v>BORRADO</v>
      </c>
      <c r="G109" s="40" t="str">
        <f>IFERROR(VLOOKUP(9484,Gastos[],7,FALSE),"BORRADO")</f>
        <v>BORRADO</v>
      </c>
      <c r="H109" s="40" t="str">
        <f>IFERROR(VLOOKUP(9484,Gastos[],8,FALSE),"BORRADO")</f>
        <v>BORRADO</v>
      </c>
      <c r="I109" s="40" t="str">
        <f>IFERROR(VLOOKUP(9484,Gastos[],9,FALSE),"BORRADO")</f>
        <v>BORRADO</v>
      </c>
    </row>
    <row r="110" spans="1:9">
      <c r="A110" s="38" t="s">
        <v>355</v>
      </c>
      <c r="B110" s="39" t="str">
        <f>IFERROR(VLOOKUP(9485,Gastos[],2,FALSE),"BORRADO")</f>
        <v>BORRADO</v>
      </c>
      <c r="C110" s="40" t="str">
        <f>IFERROR(VLOOKUP(9485,Gastos[],3,FALSE),"BORRADO")</f>
        <v>BORRADO</v>
      </c>
      <c r="D110" s="41" t="str">
        <f>IFERROR(VLOOKUP(9485,Gastos[],4,FALSE),"BORRADO")</f>
        <v>BORRADO</v>
      </c>
      <c r="E110" s="42" t="str">
        <f>IFERROR(VLOOKUP(9485,Gastos[],5,FALSE),"BORRADO")</f>
        <v>BORRADO</v>
      </c>
      <c r="F110" s="41" t="str">
        <f>IFERROR(VLOOKUP(9485,Gastos[],6,FALSE),"BORRADO")</f>
        <v>BORRADO</v>
      </c>
      <c r="G110" s="40" t="str">
        <f>IFERROR(VLOOKUP(9485,Gastos[],7,FALSE),"BORRADO")</f>
        <v>BORRADO</v>
      </c>
      <c r="H110" s="40" t="str">
        <f>IFERROR(VLOOKUP(9485,Gastos[],8,FALSE),"BORRADO")</f>
        <v>BORRADO</v>
      </c>
      <c r="I110" s="40" t="str">
        <f>IFERROR(VLOOKUP(9485,Gastos[],9,FALSE),"BORRADO")</f>
        <v>BORRADO</v>
      </c>
    </row>
    <row r="111" spans="1:9">
      <c r="A111" s="38" t="s">
        <v>355</v>
      </c>
      <c r="B111" s="39" t="str">
        <f>IFERROR(VLOOKUP(9486,Gastos[],2,FALSE),"BORRADO")</f>
        <v>BORRADO</v>
      </c>
      <c r="C111" s="40" t="str">
        <f>IFERROR(VLOOKUP(9486,Gastos[],3,FALSE),"BORRADO")</f>
        <v>BORRADO</v>
      </c>
      <c r="D111" s="41" t="str">
        <f>IFERROR(VLOOKUP(9486,Gastos[],4,FALSE),"BORRADO")</f>
        <v>BORRADO</v>
      </c>
      <c r="E111" s="42" t="str">
        <f>IFERROR(VLOOKUP(9486,Gastos[],5,FALSE),"BORRADO")</f>
        <v>BORRADO</v>
      </c>
      <c r="F111" s="41" t="str">
        <f>IFERROR(VLOOKUP(9486,Gastos[],6,FALSE),"BORRADO")</f>
        <v>BORRADO</v>
      </c>
      <c r="G111" s="40" t="str">
        <f>IFERROR(VLOOKUP(9486,Gastos[],7,FALSE),"BORRADO")</f>
        <v>BORRADO</v>
      </c>
      <c r="H111" s="40" t="str">
        <f>IFERROR(VLOOKUP(9486,Gastos[],8,FALSE),"BORRADO")</f>
        <v>BORRADO</v>
      </c>
      <c r="I111" s="40" t="str">
        <f>IFERROR(VLOOKUP(9486,Gastos[],9,FALSE),"BORRADO")</f>
        <v>BORRADO</v>
      </c>
    </row>
    <row r="112" spans="1:9">
      <c r="A112" s="38" t="s">
        <v>355</v>
      </c>
      <c r="B112" s="39" t="str">
        <f>IFERROR(VLOOKUP(9487,Gastos[],2,FALSE),"BORRADO")</f>
        <v>BORRADO</v>
      </c>
      <c r="C112" s="40" t="str">
        <f>IFERROR(VLOOKUP(9487,Gastos[],3,FALSE),"BORRADO")</f>
        <v>BORRADO</v>
      </c>
      <c r="D112" s="41" t="str">
        <f>IFERROR(VLOOKUP(9487,Gastos[],4,FALSE),"BORRADO")</f>
        <v>BORRADO</v>
      </c>
      <c r="E112" s="42" t="str">
        <f>IFERROR(VLOOKUP(9487,Gastos[],5,FALSE),"BORRADO")</f>
        <v>BORRADO</v>
      </c>
      <c r="F112" s="41" t="str">
        <f>IFERROR(VLOOKUP(9487,Gastos[],6,FALSE),"BORRADO")</f>
        <v>BORRADO</v>
      </c>
      <c r="G112" s="40" t="str">
        <f>IFERROR(VLOOKUP(9487,Gastos[],7,FALSE),"BORRADO")</f>
        <v>BORRADO</v>
      </c>
      <c r="H112" s="40" t="str">
        <f>IFERROR(VLOOKUP(9487,Gastos[],8,FALSE),"BORRADO")</f>
        <v>BORRADO</v>
      </c>
      <c r="I112" s="40" t="str">
        <f>IFERROR(VLOOKUP(9487,Gastos[],9,FALSE),"BORRADO")</f>
        <v>BORRADO</v>
      </c>
    </row>
    <row r="113" spans="1:9">
      <c r="A113" s="38" t="s">
        <v>354</v>
      </c>
      <c r="B113" s="39">
        <f>IFERROR(VLOOKUP(3148,Depositos[],2,FALSE),"BORRADO")</f>
        <v>42978</v>
      </c>
      <c r="C113" s="40" t="str">
        <f>IFERROR(VLOOKUP(3148,Depositos[],3,FALSE),"BORRADO")</f>
        <v>RR CHEQUE</v>
      </c>
      <c r="D113" s="41">
        <f>IFERROR(VLOOKUP(3148,Depositos[],4,FALSE),"BORRADO")</f>
        <v>2626.13</v>
      </c>
      <c r="E113" s="42">
        <f>IFERROR(VLOOKUP(3148,Depositos[],5,FALSE),"BORRADO")</f>
        <v>42979</v>
      </c>
      <c r="F113" s="41">
        <f ca="1">IFERROR(VLOOKUP(3148,Depositos[],6,FALSE),"BORRADO")</f>
        <v>2067</v>
      </c>
      <c r="G113" s="40" t="str">
        <f>IFERROR(VLOOKUP(3148,Depositos[],7,FALSE),"BORRADO")</f>
        <v>INDUSTRIAL 13217998</v>
      </c>
      <c r="H113" s="40">
        <f>IFERROR(VLOOKUP(3148,Depositos[],8,FALSE),"BORRADO")</f>
        <v>0</v>
      </c>
      <c r="I113" s="40">
        <f>IFERROR(VLOOKUP(3148,Depositos[],9,FALSE),"BORRADO")</f>
        <v>0</v>
      </c>
    </row>
    <row r="114" spans="1:9">
      <c r="A114" s="38" t="s">
        <v>354</v>
      </c>
      <c r="B114" s="39">
        <f>IFERROR(VLOOKUP(3149,Depositos[],2,FALSE),"BORRADO")</f>
        <v>42978</v>
      </c>
      <c r="C114" s="40" t="str">
        <f>IFERROR(VLOOKUP(3149,Depositos[],3,FALSE),"BORRADO")</f>
        <v>RR CHEQUE</v>
      </c>
      <c r="D114" s="41">
        <f>IFERROR(VLOOKUP(3149,Depositos[],4,FALSE),"BORRADO")</f>
        <v>5333.98</v>
      </c>
      <c r="E114" s="42">
        <f>IFERROR(VLOOKUP(3149,Depositos[],5,FALSE),"BORRADO")</f>
        <v>42979</v>
      </c>
      <c r="F114" s="41">
        <f ca="1">IFERROR(VLOOKUP(3149,Depositos[],6,FALSE),"BORRADO")</f>
        <v>4194</v>
      </c>
      <c r="G114" s="40" t="str">
        <f>IFERROR(VLOOKUP(3149,Depositos[],7,FALSE),"BORRADO")</f>
        <v>INDUSTRIAL 13217997</v>
      </c>
      <c r="H114" s="40">
        <f>IFERROR(VLOOKUP(3149,Depositos[],8,FALSE),"BORRADO")</f>
        <v>0</v>
      </c>
      <c r="I114" s="40">
        <f>IFERROR(VLOOKUP(3149,Depositos[],9,FALSE),"BORRADO")</f>
        <v>0</v>
      </c>
    </row>
    <row r="115" spans="1:9">
      <c r="A115" s="38" t="s">
        <v>354</v>
      </c>
      <c r="B115" s="39">
        <f>IFERROR(VLOOKUP(3150,Depositos[],2,FALSE),"BORRADO")</f>
        <v>42978</v>
      </c>
      <c r="C115" s="40" t="str">
        <f>IFERROR(VLOOKUP(3150,Depositos[],3,FALSE),"BORRADO")</f>
        <v>RR CHEQUE</v>
      </c>
      <c r="D115" s="41">
        <f>IFERROR(VLOOKUP(3150,Depositos[],4,FALSE),"BORRADO")</f>
        <v>5847.19</v>
      </c>
      <c r="E115" s="42">
        <f>IFERROR(VLOOKUP(3150,Depositos[],5,FALSE),"BORRADO")</f>
        <v>42979</v>
      </c>
      <c r="F115" s="41">
        <f ca="1">IFERROR(VLOOKUP(3150,Depositos[],6,FALSE),"BORRADO")</f>
        <v>4955</v>
      </c>
      <c r="G115" s="40" t="str">
        <f>IFERROR(VLOOKUP(3150,Depositos[],7,FALSE),"BORRADO")</f>
        <v>INDUSTRIAL 13218001</v>
      </c>
      <c r="H115" s="40">
        <f>IFERROR(VLOOKUP(3150,Depositos[],8,FALSE),"BORRADO")</f>
        <v>0</v>
      </c>
      <c r="I115" s="40">
        <f>IFERROR(VLOOKUP(3150,Depositos[],9,FALSE),"BORRADO")</f>
        <v>0</v>
      </c>
    </row>
    <row r="116" spans="1:9">
      <c r="A116" s="38" t="s">
        <v>354</v>
      </c>
      <c r="B116" s="39">
        <f>IFERROR(VLOOKUP(3151,Depositos[],2,FALSE),"BORRADO")</f>
        <v>42978</v>
      </c>
      <c r="C116" s="40" t="str">
        <f>IFERROR(VLOOKUP(3151,Depositos[],3,FALSE),"BORRADO")</f>
        <v>RR CHEQUE</v>
      </c>
      <c r="D116" s="41">
        <f>IFERROR(VLOOKUP(3151,Depositos[],4,FALSE),"BORRADO")</f>
        <v>7674.05</v>
      </c>
      <c r="E116" s="42">
        <f>IFERROR(VLOOKUP(3151,Depositos[],5,FALSE),"BORRADO")</f>
        <v>42979</v>
      </c>
      <c r="F116" s="41">
        <f ca="1">IFERROR(VLOOKUP(3151,Depositos[],6,FALSE),"BORRADO")</f>
        <v>7547</v>
      </c>
      <c r="G116" s="40" t="str">
        <f>IFERROR(VLOOKUP(3151,Depositos[],7,FALSE),"BORRADO")</f>
        <v>INDUSTRIAL 12682927</v>
      </c>
      <c r="H116" s="40">
        <f>IFERROR(VLOOKUP(3151,Depositos[],8,FALSE),"BORRADO")</f>
        <v>0</v>
      </c>
      <c r="I116" s="40">
        <f>IFERROR(VLOOKUP(3151,Depositos[],9,FALSE),"BORRADO")</f>
        <v>0</v>
      </c>
    </row>
    <row r="117" spans="1:9">
      <c r="A117" s="38" t="s">
        <v>354</v>
      </c>
      <c r="B117" s="39">
        <f>IFERROR(VLOOKUP(3152,Depositos[],2,FALSE),"BORRADO")</f>
        <v>42978</v>
      </c>
      <c r="C117" s="40" t="str">
        <f>IFERROR(VLOOKUP(3152,Depositos[],3,FALSE),"BORRADO")</f>
        <v>RR CHEQUE</v>
      </c>
      <c r="D117" s="41">
        <f>IFERROR(VLOOKUP(3152,Depositos[],4,FALSE),"BORRADO")</f>
        <v>7118.72</v>
      </c>
      <c r="E117" s="42">
        <f>IFERROR(VLOOKUP(3152,Depositos[],5,FALSE),"BORRADO")</f>
        <v>42979</v>
      </c>
      <c r="F117" s="41">
        <f ca="1">IFERROR(VLOOKUP(3152,Depositos[],6,FALSE),"BORRADO")</f>
        <v>4521</v>
      </c>
      <c r="G117" s="40" t="str">
        <f>IFERROR(VLOOKUP(3152,Depositos[],7,FALSE),"BORRADO")</f>
        <v>INDUSTRIAL 12682975</v>
      </c>
      <c r="H117" s="40">
        <f>IFERROR(VLOOKUP(3152,Depositos[],8,FALSE),"BORRADO")</f>
        <v>0</v>
      </c>
      <c r="I117" s="40">
        <f>IFERROR(VLOOKUP(3152,Depositos[],9,FALSE),"BORRADO")</f>
        <v>0</v>
      </c>
    </row>
    <row r="118" spans="1:9">
      <c r="A118" s="38" t="s">
        <v>354</v>
      </c>
      <c r="B118" s="39">
        <f>IFERROR(VLOOKUP(3153,Depositos[],2,FALSE),"BORRADO")</f>
        <v>42978</v>
      </c>
      <c r="C118" s="40" t="str">
        <f>IFERROR(VLOOKUP(3153,Depositos[],3,FALSE),"BORRADO")</f>
        <v>RR CHEQUE</v>
      </c>
      <c r="D118" s="41">
        <f>IFERROR(VLOOKUP(3153,Depositos[],4,FALSE),"BORRADO")</f>
        <v>3525.38</v>
      </c>
      <c r="E118" s="42">
        <f>IFERROR(VLOOKUP(3153,Depositos[],5,FALSE),"BORRADO")</f>
        <v>42979</v>
      </c>
      <c r="F118" s="41">
        <f ca="1">IFERROR(VLOOKUP(3153,Depositos[],6,FALSE),"BORRADO")</f>
        <v>1012</v>
      </c>
      <c r="G118" s="40" t="str">
        <f>IFERROR(VLOOKUP(3153,Depositos[],7,FALSE),"BORRADO")</f>
        <v>INDUSTRIAL 12682941</v>
      </c>
      <c r="H118" s="40">
        <f>IFERROR(VLOOKUP(3153,Depositos[],8,FALSE),"BORRADO")</f>
        <v>0</v>
      </c>
      <c r="I118" s="40">
        <f>IFERROR(VLOOKUP(3153,Depositos[],9,FALSE),"BORRADO")</f>
        <v>0</v>
      </c>
    </row>
    <row r="119" spans="1:9">
      <c r="A119" s="38" t="s">
        <v>354</v>
      </c>
      <c r="B119" s="39">
        <f>IFERROR(VLOOKUP(3154,Depositos[],2,FALSE),"BORRADO")</f>
        <v>42978</v>
      </c>
      <c r="C119" s="40" t="str">
        <f>IFERROR(VLOOKUP(3154,Depositos[],3,FALSE),"BORRADO")</f>
        <v>RR CHEQUE</v>
      </c>
      <c r="D119" s="41">
        <f>IFERROR(VLOOKUP(3154,Depositos[],4,FALSE),"BORRADO")</f>
        <v>2398.08</v>
      </c>
      <c r="E119" s="42">
        <f>IFERROR(VLOOKUP(3154,Depositos[],5,FALSE),"BORRADO")</f>
        <v>42979</v>
      </c>
      <c r="F119" s="41">
        <f ca="1">IFERROR(VLOOKUP(3154,Depositos[],6,FALSE),"BORRADO")</f>
        <v>1855</v>
      </c>
      <c r="G119" s="40" t="str">
        <f>IFERROR(VLOOKUP(3154,Depositos[],7,FALSE),"BORRADO")</f>
        <v>INDUSTRIAL 12682939</v>
      </c>
      <c r="H119" s="40">
        <f>IFERROR(VLOOKUP(3154,Depositos[],8,FALSE),"BORRADO")</f>
        <v>0</v>
      </c>
      <c r="I119" s="40">
        <f>IFERROR(VLOOKUP(3154,Depositos[],9,FALSE),"BORRADO")</f>
        <v>0</v>
      </c>
    </row>
    <row r="120" spans="1:9">
      <c r="A120" s="38" t="s">
        <v>353</v>
      </c>
      <c r="B120" s="39">
        <f>IFERROR(VLOOKUP(2128,Chequeras[],2,FALSE),"BORRADO")</f>
        <v>42978</v>
      </c>
      <c r="C120" s="40" t="str">
        <f>IFERROR(VLOOKUP(2128,Chequeras[],3,FALSE),"BORRADO")</f>
        <v>01670193</v>
      </c>
      <c r="D120" s="41">
        <f>IFERROR(VLOOKUP(2128,Chequeras[],4,FALSE),"BORRADO")</f>
        <v>-46499.44</v>
      </c>
      <c r="E120" s="42">
        <f>IFERROR(VLOOKUP(2128,Chequeras[],5,FALSE),"BORRADO")</f>
        <v>42997</v>
      </c>
      <c r="F120" s="41">
        <f ca="1">IFERROR(VLOOKUP(2128,Chequeras[],6,FALSE),"BORRADO")</f>
        <v>30866</v>
      </c>
      <c r="G120" s="40" t="str">
        <f>IFERROR(VLOOKUP(2128,Chequeras[],7,FALSE),"BORRADO")</f>
        <v>Babnik SA 16/09/2017</v>
      </c>
      <c r="H120" s="40" t="str">
        <f>IFERROR(VLOOKUP(2128,Chequeras[],8,FALSE),"BORRADO")</f>
        <v>lh</v>
      </c>
      <c r="I120" s="40">
        <f>IFERROR(VLOOKUP(2128,Chequeras[],9,FALSE),"BORRADO")</f>
        <v>94</v>
      </c>
    </row>
    <row r="121" spans="1:9">
      <c r="A121" s="38" t="s">
        <v>353</v>
      </c>
      <c r="B121" s="39">
        <f>IFERROR(VLOOKUP(2130,Chequeras[],2,FALSE),"BORRADO")</f>
        <v>42978</v>
      </c>
      <c r="C121" s="40" t="str">
        <f>IFERROR(VLOOKUP(2130,Chequeras[],3,FALSE),"BORRADO")</f>
        <v>01670195</v>
      </c>
      <c r="D121" s="41">
        <f>IFERROR(VLOOKUP(2130,Chequeras[],4,FALSE),"BORRADO")</f>
        <v>-5253.7</v>
      </c>
      <c r="E121" s="42">
        <f>IFERROR(VLOOKUP(2130,Chequeras[],5,FALSE),"BORRADO")</f>
        <v>43017</v>
      </c>
      <c r="F121" s="41">
        <f ca="1">IFERROR(VLOOKUP(2130,Chequeras[],6,FALSE),"BORRADO")</f>
        <v>2571</v>
      </c>
      <c r="G121" s="40" t="str">
        <f>IFERROR(VLOOKUP(2130,Chequeras[],7,FALSE),"BORRADO")</f>
        <v>Alarcón Silvio Roberto 26/09/2017</v>
      </c>
      <c r="H121" s="40" t="str">
        <f>IFERROR(VLOOKUP(2130,Chequeras[],8,FALSE),"BORRADO")</f>
        <v>lh</v>
      </c>
      <c r="I121" s="40">
        <f>IFERROR(VLOOKUP(2130,Chequeras[],9,FALSE),"BORRADO")</f>
        <v>94</v>
      </c>
    </row>
    <row r="122" spans="1:9">
      <c r="A122" s="38" t="s">
        <v>353</v>
      </c>
      <c r="B122" s="39">
        <f>IFERROR(VLOOKUP(2122,Chequeras[],2,FALSE),"BORRADO")</f>
        <v>42978</v>
      </c>
      <c r="C122" s="40" t="str">
        <f>IFERROR(VLOOKUP(2122,Chequeras[],3,FALSE),"BORRADO")</f>
        <v>01670187</v>
      </c>
      <c r="D122" s="41">
        <f>IFERROR(VLOOKUP(2122,Chequeras[],4,FALSE),"BORRADO")</f>
        <v>-3717.26</v>
      </c>
      <c r="E122" s="42">
        <f>IFERROR(VLOOKUP(2122,Chequeras[],5,FALSE),"BORRADO")</f>
        <v>43019</v>
      </c>
      <c r="F122" s="41">
        <f ca="1">IFERROR(VLOOKUP(2122,Chequeras[],6,FALSE),"BORRADO")</f>
        <v>1733</v>
      </c>
      <c r="G122" s="40" t="str">
        <f>IFERROR(VLOOKUP(2122,Chequeras[],7,FALSE),"BORRADO")</f>
        <v>Colornet SRL 10/10/2017</v>
      </c>
      <c r="H122" s="40" t="str">
        <f>IFERROR(VLOOKUP(2122,Chequeras[],8,FALSE),"BORRADO")</f>
        <v>lh</v>
      </c>
      <c r="I122" s="40">
        <f>IFERROR(VLOOKUP(2122,Chequeras[],9,FALSE),"BORRADO")</f>
        <v>94</v>
      </c>
    </row>
    <row r="123" spans="1:9">
      <c r="A123" s="38" t="s">
        <v>353</v>
      </c>
      <c r="B123" s="39">
        <f>IFERROR(VLOOKUP(2132,Chequeras[],2,FALSE),"BORRADO")</f>
        <v>42978</v>
      </c>
      <c r="C123" s="40" t="str">
        <f>IFERROR(VLOOKUP(2132,Chequeras[],3,FALSE),"BORRADO")</f>
        <v>01670197</v>
      </c>
      <c r="D123" s="41">
        <f>IFERROR(VLOOKUP(2132,Chequeras[],4,FALSE),"BORRADO")</f>
        <v>-10892.78</v>
      </c>
      <c r="E123" s="42">
        <f>IFERROR(VLOOKUP(2132,Chequeras[],5,FALSE),"BORRADO")</f>
        <v>43019</v>
      </c>
      <c r="F123" s="41">
        <f ca="1">IFERROR(VLOOKUP(2132,Chequeras[],6,FALSE),"BORRADO")</f>
        <v>7115</v>
      </c>
      <c r="G123" s="40" t="str">
        <f>IFERROR(VLOOKUP(2132,Chequeras[],7,FALSE),"BORRADO")</f>
        <v>Fernandez Fabiola Vanesa</v>
      </c>
      <c r="H123" s="40" t="str">
        <f>IFERROR(VLOOKUP(2132,Chequeras[],8,FALSE),"BORRADO")</f>
        <v>lh</v>
      </c>
      <c r="I123" s="40">
        <f>IFERROR(VLOOKUP(2132,Chequeras[],9,FALSE),"BORRADO")</f>
        <v>94</v>
      </c>
    </row>
    <row r="124" spans="1:9">
      <c r="A124" s="38" t="s">
        <v>353</v>
      </c>
      <c r="B124" s="39">
        <f>IFERROR(VLOOKUP(2134,Chequeras[],2,FALSE),"BORRADO")</f>
        <v>42978</v>
      </c>
      <c r="C124" s="40" t="str">
        <f>IFERROR(VLOOKUP(2134,Chequeras[],3,FALSE),"BORRADO")</f>
        <v>01670199</v>
      </c>
      <c r="D124" s="41">
        <f>IFERROR(VLOOKUP(2134,Chequeras[],4,FALSE),"BORRADO")</f>
        <v>-5948.33</v>
      </c>
      <c r="E124" s="42">
        <f>IFERROR(VLOOKUP(2134,Chequeras[],5,FALSE),"BORRADO")</f>
        <v>43019</v>
      </c>
      <c r="F124" s="41">
        <f ca="1">IFERROR(VLOOKUP(2134,Chequeras[],6,FALSE),"BORRADO")</f>
        <v>5922</v>
      </c>
      <c r="G124" s="40" t="str">
        <f>IFERROR(VLOOKUP(2134,Chequeras[],7,FALSE),"BORRADO")</f>
        <v>Metalurgica Ramón SRL</v>
      </c>
      <c r="H124" s="40" t="str">
        <f>IFERROR(VLOOKUP(2134,Chequeras[],8,FALSE),"BORRADO")</f>
        <v>lh</v>
      </c>
      <c r="I124" s="40">
        <f>IFERROR(VLOOKUP(2134,Chequeras[],9,FALSE),"BORRADO")</f>
        <v>94</v>
      </c>
    </row>
    <row r="125" spans="1:9">
      <c r="A125" s="38" t="s">
        <v>353</v>
      </c>
      <c r="B125" s="39">
        <f>IFERROR(VLOOKUP(2124,Chequeras[],2,FALSE),"BORRADO")</f>
        <v>42978</v>
      </c>
      <c r="C125" s="40" t="str">
        <f>IFERROR(VLOOKUP(2124,Chequeras[],3,FALSE),"BORRADO")</f>
        <v>01670189</v>
      </c>
      <c r="D125" s="41">
        <f>IFERROR(VLOOKUP(2124,Chequeras[],4,FALSE),"BORRADO")</f>
        <v>-9836.44</v>
      </c>
      <c r="E125" s="42">
        <f>IFERROR(VLOOKUP(2124,Chequeras[],5,FALSE),"BORRADO")</f>
        <v>43020</v>
      </c>
      <c r="F125" s="41">
        <f ca="1">IFERROR(VLOOKUP(2124,Chequeras[],6,FALSE),"BORRADO")</f>
        <v>8570</v>
      </c>
      <c r="G125" s="40" t="str">
        <f>IFERROR(VLOOKUP(2124,Chequeras[],7,FALSE),"BORRADO")</f>
        <v>Neumaticos Jujuy SA 11/10/2017</v>
      </c>
      <c r="H125" s="40" t="str">
        <f>IFERROR(VLOOKUP(2124,Chequeras[],8,FALSE),"BORRADO")</f>
        <v>lh</v>
      </c>
      <c r="I125" s="40">
        <f>IFERROR(VLOOKUP(2124,Chequeras[],9,FALSE),"BORRADO")</f>
        <v>94</v>
      </c>
    </row>
    <row r="126" spans="1:9">
      <c r="A126" s="38" t="s">
        <v>353</v>
      </c>
      <c r="B126" s="39">
        <f>IFERROR(VLOOKUP(2126,Chequeras[],2,FALSE),"BORRADO")</f>
        <v>42978</v>
      </c>
      <c r="C126" s="40" t="str">
        <f>IFERROR(VLOOKUP(2126,Chequeras[],3,FALSE),"BORRADO")</f>
        <v>01670191</v>
      </c>
      <c r="D126" s="41">
        <f>IFERROR(VLOOKUP(2126,Chequeras[],4,FALSE),"BORRADO")</f>
        <v>-2269.02</v>
      </c>
      <c r="E126" s="42">
        <f>IFERROR(VLOOKUP(2126,Chequeras[],5,FALSE),"BORRADO")</f>
        <v>43020</v>
      </c>
      <c r="F126" s="41">
        <f ca="1">IFERROR(VLOOKUP(2126,Chequeras[],6,FALSE),"BORRADO")</f>
        <v>1340</v>
      </c>
      <c r="G126" s="40" t="str">
        <f>IFERROR(VLOOKUP(2126,Chequeras[],7,FALSE),"BORRADO")</f>
        <v>Pioli Edi Del Valle 11/01/2017</v>
      </c>
      <c r="H126" s="40" t="str">
        <f>IFERROR(VLOOKUP(2126,Chequeras[],8,FALSE),"BORRADO")</f>
        <v>lh</v>
      </c>
      <c r="I126" s="40">
        <f>IFERROR(VLOOKUP(2126,Chequeras[],9,FALSE),"BORRADO")</f>
        <v>94</v>
      </c>
    </row>
    <row r="127" spans="1:9">
      <c r="A127" s="38" t="s">
        <v>353</v>
      </c>
      <c r="B127" s="39">
        <f>IFERROR(VLOOKUP(2138,Chequeras[],2,FALSE),"BORRADO")</f>
        <v>42978</v>
      </c>
      <c r="C127" s="40" t="str">
        <f>IFERROR(VLOOKUP(2138,Chequeras[],3,FALSE),"BORRADO")</f>
        <v>01670203</v>
      </c>
      <c r="D127" s="41">
        <f>IFERROR(VLOOKUP(2138,Chequeras[],4,FALSE),"BORRADO")</f>
        <v>-2272.0700000000002</v>
      </c>
      <c r="E127" s="42">
        <f>IFERROR(VLOOKUP(2138,Chequeras[],5,FALSE),"BORRADO")</f>
        <v>43020</v>
      </c>
      <c r="F127" s="41">
        <f ca="1">IFERROR(VLOOKUP(2138,Chequeras[],6,FALSE),"BORRADO")</f>
        <v>1553</v>
      </c>
      <c r="G127" s="40" t="str">
        <f>IFERROR(VLOOKUP(2138,Chequeras[],7,FALSE),"BORRADO")</f>
        <v>Milenium SRL 11/10/2017</v>
      </c>
      <c r="H127" s="40" t="str">
        <f>IFERROR(VLOOKUP(2138,Chequeras[],8,FALSE),"BORRADO")</f>
        <v>lh</v>
      </c>
      <c r="I127" s="40">
        <f>IFERROR(VLOOKUP(2138,Chequeras[],9,FALSE),"BORRADO")</f>
        <v>94</v>
      </c>
    </row>
    <row r="128" spans="1:9">
      <c r="A128" s="38" t="s">
        <v>353</v>
      </c>
      <c r="B128" s="39">
        <f>IFERROR(VLOOKUP(2123,Chequeras[],2,FALSE),"BORRADO")</f>
        <v>42978</v>
      </c>
      <c r="C128" s="40" t="str">
        <f>IFERROR(VLOOKUP(2123,Chequeras[],3,FALSE),"BORRADO")</f>
        <v>01670188</v>
      </c>
      <c r="D128" s="41">
        <f>IFERROR(VLOOKUP(2123,Chequeras[],4,FALSE),"BORRADO")</f>
        <v>-2455.5500000000002</v>
      </c>
      <c r="E128" s="42">
        <f>IFERROR(VLOOKUP(2123,Chequeras[],5,FALSE),"BORRADO")</f>
        <v>43021</v>
      </c>
      <c r="F128" s="41">
        <f ca="1">IFERROR(VLOOKUP(2123,Chequeras[],6,FALSE),"BORRADO")</f>
        <v>1626</v>
      </c>
      <c r="G128" s="40" t="str">
        <f>IFERROR(VLOOKUP(2123,Chequeras[],7,FALSE),"BORRADO")</f>
        <v>Mediterranea Diesel SRL 12/10/17</v>
      </c>
      <c r="H128" s="40" t="str">
        <f>IFERROR(VLOOKUP(2123,Chequeras[],8,FALSE),"BORRADO")</f>
        <v>lh</v>
      </c>
      <c r="I128" s="40">
        <f>IFERROR(VLOOKUP(2123,Chequeras[],9,FALSE),"BORRADO")</f>
        <v>94</v>
      </c>
    </row>
    <row r="129" spans="1:9">
      <c r="A129" s="38" t="s">
        <v>353</v>
      </c>
      <c r="B129" s="39">
        <f>IFERROR(VLOOKUP(2129,Chequeras[],2,FALSE),"BORRADO")</f>
        <v>42978</v>
      </c>
      <c r="C129" s="40" t="str">
        <f>IFERROR(VLOOKUP(2129,Chequeras[],3,FALSE),"BORRADO")</f>
        <v>01670194</v>
      </c>
      <c r="D129" s="41">
        <f>IFERROR(VLOOKUP(2129,Chequeras[],4,FALSE),"BORRADO")</f>
        <v>-10428.76</v>
      </c>
      <c r="E129" s="42">
        <f>IFERROR(VLOOKUP(2129,Chequeras[],5,FALSE),"BORRADO")</f>
        <v>43029</v>
      </c>
      <c r="F129" s="41">
        <f ca="1">IFERROR(VLOOKUP(2129,Chequeras[],6,FALSE),"BORRADO")</f>
        <v>3729</v>
      </c>
      <c r="G129" s="40" t="str">
        <f>IFERROR(VLOOKUP(2129,Chequeras[],7,FALSE),"BORRADO")</f>
        <v>Alberti Gonzalez Adolfo</v>
      </c>
      <c r="H129" s="40" t="str">
        <f>IFERROR(VLOOKUP(2129,Chequeras[],8,FALSE),"BORRADO")</f>
        <v>lh</v>
      </c>
      <c r="I129" s="40">
        <f>IFERROR(VLOOKUP(2129,Chequeras[],9,FALSE),"BORRADO")</f>
        <v>94</v>
      </c>
    </row>
    <row r="130" spans="1:9">
      <c r="A130" s="38" t="s">
        <v>353</v>
      </c>
      <c r="B130" s="39">
        <f>IFERROR(VLOOKUP(2127,Chequeras[],2,FALSE),"BORRADO")</f>
        <v>42978</v>
      </c>
      <c r="C130" s="40" t="str">
        <f>IFERROR(VLOOKUP(2127,Chequeras[],3,FALSE),"BORRADO")</f>
        <v>01670192</v>
      </c>
      <c r="D130" s="41">
        <f>IFERROR(VLOOKUP(2127,Chequeras[],4,FALSE),"BORRADO")</f>
        <v>-2269.02</v>
      </c>
      <c r="E130" s="42">
        <f>IFERROR(VLOOKUP(2127,Chequeras[],5,FALSE),"BORRADO")</f>
        <v>43039</v>
      </c>
      <c r="F130" s="41">
        <f ca="1">IFERROR(VLOOKUP(2127,Chequeras[],6,FALSE),"BORRADO")</f>
        <v>785</v>
      </c>
      <c r="G130" s="40" t="str">
        <f>IFERROR(VLOOKUP(2127,Chequeras[],7,FALSE),"BORRADO")</f>
        <v>Pioli Edi Del Valle</v>
      </c>
      <c r="H130" s="40" t="str">
        <f>IFERROR(VLOOKUP(2127,Chequeras[],8,FALSE),"BORRADO")</f>
        <v>lh</v>
      </c>
      <c r="I130" s="40">
        <f>IFERROR(VLOOKUP(2127,Chequeras[],9,FALSE),"BORRADO")</f>
        <v>94</v>
      </c>
    </row>
    <row r="131" spans="1:9">
      <c r="A131" s="38" t="s">
        <v>353</v>
      </c>
      <c r="B131" s="39">
        <f>IFERROR(VLOOKUP(2137,Chequeras[],2,FALSE),"BORRADO")</f>
        <v>42978</v>
      </c>
      <c r="C131" s="40" t="str">
        <f>IFERROR(VLOOKUP(2137,Chequeras[],3,FALSE),"BORRADO")</f>
        <v>01670202</v>
      </c>
      <c r="D131" s="41">
        <f>IFERROR(VLOOKUP(2137,Chequeras[],4,FALSE),"BORRADO")</f>
        <v>-5679.32</v>
      </c>
      <c r="E131" s="42">
        <f>IFERROR(VLOOKUP(2137,Chequeras[],5,FALSE),"BORRADO")</f>
        <v>43039</v>
      </c>
      <c r="F131" s="41">
        <f ca="1">IFERROR(VLOOKUP(2137,Chequeras[],6,FALSE),"BORRADO")</f>
        <v>2083</v>
      </c>
      <c r="G131" s="40" t="str">
        <f>IFERROR(VLOOKUP(2137,Chequeras[],7,FALSE),"BORRADO")</f>
        <v>Cisneros Julia Inés</v>
      </c>
      <c r="H131" s="40" t="str">
        <f>IFERROR(VLOOKUP(2137,Chequeras[],8,FALSE),"BORRADO")</f>
        <v>lh</v>
      </c>
      <c r="I131" s="40">
        <f>IFERROR(VLOOKUP(2137,Chequeras[],9,FALSE),"BORRADO")</f>
        <v>94</v>
      </c>
    </row>
    <row r="132" spans="1:9">
      <c r="A132" s="38" t="s">
        <v>353</v>
      </c>
      <c r="B132" s="39">
        <f>IFERROR(VLOOKUP(2125,Chequeras[],2,FALSE),"BORRADO")</f>
        <v>42978</v>
      </c>
      <c r="C132" s="40" t="str">
        <f>IFERROR(VLOOKUP(2125,Chequeras[],3,FALSE),"BORRADO")</f>
        <v>01670190</v>
      </c>
      <c r="D132" s="41">
        <f>IFERROR(VLOOKUP(2125,Chequeras[],4,FALSE),"BORRADO")</f>
        <v>-9836.4500000000007</v>
      </c>
      <c r="E132" s="42">
        <f>IFERROR(VLOOKUP(2125,Chequeras[],5,FALSE),"BORRADO")</f>
        <v>43049</v>
      </c>
      <c r="F132" s="41">
        <f ca="1">IFERROR(VLOOKUP(2125,Chequeras[],6,FALSE),"BORRADO")</f>
        <v>4170</v>
      </c>
      <c r="G132" s="40" t="str">
        <f>IFERROR(VLOOKUP(2125,Chequeras[],7,FALSE),"BORRADO")</f>
        <v>Neumaticos Jujuy SA</v>
      </c>
      <c r="H132" s="40" t="str">
        <f>IFERROR(VLOOKUP(2125,Chequeras[],8,FALSE),"BORRADO")</f>
        <v>lh</v>
      </c>
      <c r="I132" s="40">
        <f>IFERROR(VLOOKUP(2125,Chequeras[],9,FALSE),"BORRADO")</f>
        <v>94</v>
      </c>
    </row>
    <row r="133" spans="1:9">
      <c r="A133" s="38" t="s">
        <v>353</v>
      </c>
      <c r="B133" s="39">
        <f>IFERROR(VLOOKUP(2133,Chequeras[],2,FALSE),"BORRADO")</f>
        <v>42978</v>
      </c>
      <c r="C133" s="40" t="str">
        <f>IFERROR(VLOOKUP(2133,Chequeras[],3,FALSE),"BORRADO")</f>
        <v>01670198</v>
      </c>
      <c r="D133" s="41">
        <f>IFERROR(VLOOKUP(2133,Chequeras[],4,FALSE),"BORRADO")</f>
        <v>-10892.79</v>
      </c>
      <c r="E133" s="42">
        <f>IFERROR(VLOOKUP(2133,Chequeras[],5,FALSE),"BORRADO")</f>
        <v>43049</v>
      </c>
      <c r="F133" s="41">
        <f ca="1">IFERROR(VLOOKUP(2133,Chequeras[],6,FALSE),"BORRADO")</f>
        <v>5571</v>
      </c>
      <c r="G133" s="40" t="str">
        <f>IFERROR(VLOOKUP(2133,Chequeras[],7,FALSE),"BORRADO")</f>
        <v>Fernandez Fabiola Vanesa</v>
      </c>
      <c r="H133" s="40" t="str">
        <f>IFERROR(VLOOKUP(2133,Chequeras[],8,FALSE),"BORRADO")</f>
        <v>lh</v>
      </c>
      <c r="I133" s="40">
        <f>IFERROR(VLOOKUP(2133,Chequeras[],9,FALSE),"BORRADO")</f>
        <v>94</v>
      </c>
    </row>
    <row r="134" spans="1:9">
      <c r="A134" s="38" t="s">
        <v>353</v>
      </c>
      <c r="B134" s="39">
        <f>IFERROR(VLOOKUP(2136,Chequeras[],2,FALSE),"BORRADO")</f>
        <v>42978</v>
      </c>
      <c r="C134" s="40" t="str">
        <f>IFERROR(VLOOKUP(2136,Chequeras[],3,FALSE),"BORRADO")</f>
        <v>01670201</v>
      </c>
      <c r="D134" s="41">
        <f>IFERROR(VLOOKUP(2136,Chequeras[],4,FALSE),"BORRADO")</f>
        <v>-5949.32</v>
      </c>
      <c r="E134" s="42">
        <f>IFERROR(VLOOKUP(2136,Chequeras[],5,FALSE),"BORRADO")</f>
        <v>43049</v>
      </c>
      <c r="F134" s="41">
        <f ca="1">IFERROR(VLOOKUP(2136,Chequeras[],6,FALSE),"BORRADO")</f>
        <v>5206</v>
      </c>
      <c r="G134" s="40" t="str">
        <f>IFERROR(VLOOKUP(2136,Chequeras[],7,FALSE),"BORRADO")</f>
        <v>Metalurgica Ramón SRL</v>
      </c>
      <c r="H134" s="40" t="str">
        <f>IFERROR(VLOOKUP(2136,Chequeras[],8,FALSE),"BORRADO")</f>
        <v>lh</v>
      </c>
      <c r="I134" s="40">
        <f>IFERROR(VLOOKUP(2136,Chequeras[],9,FALSE),"BORRADO")</f>
        <v>94</v>
      </c>
    </row>
    <row r="135" spans="1:9">
      <c r="A135" s="38" t="s">
        <v>353</v>
      </c>
      <c r="B135" s="39">
        <f>IFERROR(VLOOKUP(2135,Chequeras[],2,FALSE),"BORRADO")</f>
        <v>42978</v>
      </c>
      <c r="C135" s="40" t="str">
        <f>IFERROR(VLOOKUP(2135,Chequeras[],3,FALSE),"BORRADO")</f>
        <v>01670200</v>
      </c>
      <c r="D135" s="41">
        <f>IFERROR(VLOOKUP(2135,Chequeras[],4,FALSE),"BORRADO")</f>
        <v>-5948.33</v>
      </c>
      <c r="E135" s="42">
        <f>IFERROR(VLOOKUP(2135,Chequeras[],5,FALSE),"BORRADO")</f>
        <v>43069</v>
      </c>
      <c r="F135" s="41">
        <f ca="1">IFERROR(VLOOKUP(2135,Chequeras[],6,FALSE),"BORRADO")</f>
        <v>4557</v>
      </c>
      <c r="G135" s="40" t="str">
        <f>IFERROR(VLOOKUP(2135,Chequeras[],7,FALSE),"BORRADO")</f>
        <v>Metalurgica Ramón SRL</v>
      </c>
      <c r="H135" s="40" t="str">
        <f>IFERROR(VLOOKUP(2135,Chequeras[],8,FALSE),"BORRADO")</f>
        <v>lh</v>
      </c>
      <c r="I135" s="40">
        <f>IFERROR(VLOOKUP(2135,Chequeras[],9,FALSE),"BORRADO")</f>
        <v>94</v>
      </c>
    </row>
    <row r="136" spans="1:9">
      <c r="A136" s="38" t="s">
        <v>353</v>
      </c>
      <c r="B136" s="39" t="str">
        <f>IFERROR(VLOOKUP(1740,Chequeras[],2,FALSE),"BORRADO")</f>
        <v>BORRADO</v>
      </c>
      <c r="C136" s="40" t="str">
        <f>IFERROR(VLOOKUP(1740,Chequeras[],3,FALSE),"BORRADO")</f>
        <v>BORRADO</v>
      </c>
      <c r="D136" s="41" t="str">
        <f>IFERROR(VLOOKUP(1740,Chequeras[],4,FALSE),"BORRADO")</f>
        <v>BORRADO</v>
      </c>
      <c r="E136" s="42" t="str">
        <f>IFERROR(VLOOKUP(1740,Chequeras[],5,FALSE),"BORRADO")</f>
        <v>BORRADO</v>
      </c>
      <c r="F136" s="41" t="str">
        <f>IFERROR(VLOOKUP(1740,Chequeras[],6,FALSE),"BORRADO")</f>
        <v>BORRADO</v>
      </c>
      <c r="G136" s="40" t="str">
        <f>IFERROR(VLOOKUP(1740,Chequeras[],7,FALSE),"BORRADO")</f>
        <v>BORRADO</v>
      </c>
      <c r="H136" s="40" t="str">
        <f>IFERROR(VLOOKUP(1740,Chequeras[],8,FALSE),"BORRADO")</f>
        <v>BORRADO</v>
      </c>
      <c r="I136" s="40" t="str">
        <f>IFERROR(VLOOKUP(1740,Chequeras[],9,FALSE),"BORRADO")</f>
        <v>BORRADO</v>
      </c>
    </row>
    <row r="137" spans="1:9">
      <c r="A137" s="38" t="s">
        <v>355</v>
      </c>
      <c r="B137" s="39" t="str">
        <f>IFERROR(VLOOKUP(9488,Gastos[],2,FALSE),"BORRADO")</f>
        <v>BORRADO</v>
      </c>
      <c r="C137" s="40" t="str">
        <f>IFERROR(VLOOKUP(9488,Gastos[],3,FALSE),"BORRADO")</f>
        <v>BORRADO</v>
      </c>
      <c r="D137" s="41" t="str">
        <f>IFERROR(VLOOKUP(9488,Gastos[],4,FALSE),"BORRADO")</f>
        <v>BORRADO</v>
      </c>
      <c r="E137" s="42" t="str">
        <f>IFERROR(VLOOKUP(9488,Gastos[],5,FALSE),"BORRADO")</f>
        <v>BORRADO</v>
      </c>
      <c r="F137" s="41" t="str">
        <f>IFERROR(VLOOKUP(9488,Gastos[],6,FALSE),"BORRADO")</f>
        <v>BORRADO</v>
      </c>
      <c r="G137" s="40" t="str">
        <f>IFERROR(VLOOKUP(9488,Gastos[],7,FALSE),"BORRADO")</f>
        <v>BORRADO</v>
      </c>
      <c r="H137" s="40" t="str">
        <f>IFERROR(VLOOKUP(9488,Gastos[],8,FALSE),"BORRADO")</f>
        <v>BORRADO</v>
      </c>
      <c r="I137" s="40" t="str">
        <f>IFERROR(VLOOKUP(9488,Gastos[],9,FALSE),"BORRADO")</f>
        <v>BORRADO</v>
      </c>
    </row>
    <row r="138" spans="1:9">
      <c r="A138" s="38" t="s">
        <v>355</v>
      </c>
      <c r="B138" s="39" t="str">
        <f>IFERROR(VLOOKUP(9489,Gastos[],2,FALSE),"BORRADO")</f>
        <v>BORRADO</v>
      </c>
      <c r="C138" s="40" t="str">
        <f>IFERROR(VLOOKUP(9489,Gastos[],3,FALSE),"BORRADO")</f>
        <v>BORRADO</v>
      </c>
      <c r="D138" s="41" t="str">
        <f>IFERROR(VLOOKUP(9489,Gastos[],4,FALSE),"BORRADO")</f>
        <v>BORRADO</v>
      </c>
      <c r="E138" s="42" t="str">
        <f>IFERROR(VLOOKUP(9489,Gastos[],5,FALSE),"BORRADO")</f>
        <v>BORRADO</v>
      </c>
      <c r="F138" s="41" t="str">
        <f>IFERROR(VLOOKUP(9489,Gastos[],6,FALSE),"BORRADO")</f>
        <v>BORRADO</v>
      </c>
      <c r="G138" s="40" t="str">
        <f>IFERROR(VLOOKUP(9489,Gastos[],7,FALSE),"BORRADO")</f>
        <v>BORRADO</v>
      </c>
      <c r="H138" s="40" t="str">
        <f>IFERROR(VLOOKUP(9489,Gastos[],8,FALSE),"BORRADO")</f>
        <v>BORRADO</v>
      </c>
      <c r="I138" s="40" t="str">
        <f>IFERROR(VLOOKUP(9489,Gastos[],9,FALSE),"BORRADO")</f>
        <v>BORRADO</v>
      </c>
    </row>
    <row r="139" spans="1:9">
      <c r="A139" s="38" t="s">
        <v>355</v>
      </c>
      <c r="B139" s="39" t="str">
        <f>IFERROR(VLOOKUP(9490,Gastos[],2,FALSE),"BORRADO")</f>
        <v>BORRADO</v>
      </c>
      <c r="C139" s="40" t="str">
        <f>IFERROR(VLOOKUP(9490,Gastos[],3,FALSE),"BORRADO")</f>
        <v>BORRADO</v>
      </c>
      <c r="D139" s="41" t="str">
        <f>IFERROR(VLOOKUP(9490,Gastos[],4,FALSE),"BORRADO")</f>
        <v>BORRADO</v>
      </c>
      <c r="E139" s="42" t="str">
        <f>IFERROR(VLOOKUP(9490,Gastos[],5,FALSE),"BORRADO")</f>
        <v>BORRADO</v>
      </c>
      <c r="F139" s="41" t="str">
        <f>IFERROR(VLOOKUP(9490,Gastos[],6,FALSE),"BORRADO")</f>
        <v>BORRADO</v>
      </c>
      <c r="G139" s="40" t="str">
        <f>IFERROR(VLOOKUP(9490,Gastos[],7,FALSE),"BORRADO")</f>
        <v>BORRADO</v>
      </c>
      <c r="H139" s="40" t="str">
        <f>IFERROR(VLOOKUP(9490,Gastos[],8,FALSE),"BORRADO")</f>
        <v>BORRADO</v>
      </c>
      <c r="I139" s="40" t="str">
        <f>IFERROR(VLOOKUP(9490,Gastos[],9,FALSE),"BORRADO")</f>
        <v>BORRADO</v>
      </c>
    </row>
    <row r="140" spans="1:9">
      <c r="A140" s="38" t="s">
        <v>355</v>
      </c>
      <c r="B140" s="39" t="str">
        <f>IFERROR(VLOOKUP(9491,Gastos[],2,FALSE),"BORRADO")</f>
        <v>BORRADO</v>
      </c>
      <c r="C140" s="40" t="str">
        <f>IFERROR(VLOOKUP(9491,Gastos[],3,FALSE),"BORRADO")</f>
        <v>BORRADO</v>
      </c>
      <c r="D140" s="41" t="str">
        <f>IFERROR(VLOOKUP(9491,Gastos[],4,FALSE),"BORRADO")</f>
        <v>BORRADO</v>
      </c>
      <c r="E140" s="42" t="str">
        <f>IFERROR(VLOOKUP(9491,Gastos[],5,FALSE),"BORRADO")</f>
        <v>BORRADO</v>
      </c>
      <c r="F140" s="41" t="str">
        <f>IFERROR(VLOOKUP(9491,Gastos[],6,FALSE),"BORRADO")</f>
        <v>BORRADO</v>
      </c>
      <c r="G140" s="40" t="str">
        <f>IFERROR(VLOOKUP(9491,Gastos[],7,FALSE),"BORRADO")</f>
        <v>BORRADO</v>
      </c>
      <c r="H140" s="40" t="str">
        <f>IFERROR(VLOOKUP(9491,Gastos[],8,FALSE),"BORRADO")</f>
        <v>BORRADO</v>
      </c>
      <c r="I140" s="40" t="str">
        <f>IFERROR(VLOOKUP(9491,Gastos[],9,FALSE),"BORRADO")</f>
        <v>BORRADO</v>
      </c>
    </row>
    <row r="141" spans="1:9">
      <c r="A141" s="38" t="s">
        <v>355</v>
      </c>
      <c r="B141" s="39" t="str">
        <f>IFERROR(VLOOKUP(9492,Gastos[],2,FALSE),"BORRADO")</f>
        <v>BORRADO</v>
      </c>
      <c r="C141" s="40" t="str">
        <f>IFERROR(VLOOKUP(9492,Gastos[],3,FALSE),"BORRADO")</f>
        <v>BORRADO</v>
      </c>
      <c r="D141" s="41" t="str">
        <f>IFERROR(VLOOKUP(9492,Gastos[],4,FALSE),"BORRADO")</f>
        <v>BORRADO</v>
      </c>
      <c r="E141" s="42" t="str">
        <f>IFERROR(VLOOKUP(9492,Gastos[],5,FALSE),"BORRADO")</f>
        <v>BORRADO</v>
      </c>
      <c r="F141" s="41" t="str">
        <f>IFERROR(VLOOKUP(9492,Gastos[],6,FALSE),"BORRADO")</f>
        <v>BORRADO</v>
      </c>
      <c r="G141" s="40" t="str">
        <f>IFERROR(VLOOKUP(9492,Gastos[],7,FALSE),"BORRADO")</f>
        <v>BORRADO</v>
      </c>
      <c r="H141" s="40" t="str">
        <f>IFERROR(VLOOKUP(9492,Gastos[],8,FALSE),"BORRADO")</f>
        <v>BORRADO</v>
      </c>
      <c r="I141" s="40" t="str">
        <f>IFERROR(VLOOKUP(9492,Gastos[],9,FALSE),"BORRADO")</f>
        <v>BORRADO</v>
      </c>
    </row>
    <row r="142" spans="1:9">
      <c r="A142" s="38" t="s">
        <v>355</v>
      </c>
      <c r="B142" s="39" t="str">
        <f>IFERROR(VLOOKUP(9493,Gastos[],2,FALSE),"BORRADO")</f>
        <v>BORRADO</v>
      </c>
      <c r="C142" s="40" t="str">
        <f>IFERROR(VLOOKUP(9493,Gastos[],3,FALSE),"BORRADO")</f>
        <v>BORRADO</v>
      </c>
      <c r="D142" s="41" t="str">
        <f>IFERROR(VLOOKUP(9493,Gastos[],4,FALSE),"BORRADO")</f>
        <v>BORRADO</v>
      </c>
      <c r="E142" s="42" t="str">
        <f>IFERROR(VLOOKUP(9493,Gastos[],5,FALSE),"BORRADO")</f>
        <v>BORRADO</v>
      </c>
      <c r="F142" s="41" t="str">
        <f>IFERROR(VLOOKUP(9493,Gastos[],6,FALSE),"BORRADO")</f>
        <v>BORRADO</v>
      </c>
      <c r="G142" s="40" t="str">
        <f>IFERROR(VLOOKUP(9493,Gastos[],7,FALSE),"BORRADO")</f>
        <v>BORRADO</v>
      </c>
      <c r="H142" s="40" t="str">
        <f>IFERROR(VLOOKUP(9493,Gastos[],8,FALSE),"BORRADO")</f>
        <v>BORRADO</v>
      </c>
      <c r="I142" s="40" t="str">
        <f>IFERROR(VLOOKUP(9493,Gastos[],9,FALSE),"BORRADO")</f>
        <v>BORRADO</v>
      </c>
    </row>
    <row r="143" spans="1:9">
      <c r="A143" s="38" t="s">
        <v>355</v>
      </c>
      <c r="B143" s="39" t="str">
        <f>IFERROR(VLOOKUP(9494,Gastos[],2,FALSE),"BORRADO")</f>
        <v>BORRADO</v>
      </c>
      <c r="C143" s="40" t="str">
        <f>IFERROR(VLOOKUP(9494,Gastos[],3,FALSE),"BORRADO")</f>
        <v>BORRADO</v>
      </c>
      <c r="D143" s="41" t="str">
        <f>IFERROR(VLOOKUP(9494,Gastos[],4,FALSE),"BORRADO")</f>
        <v>BORRADO</v>
      </c>
      <c r="E143" s="42" t="str">
        <f>IFERROR(VLOOKUP(9494,Gastos[],5,FALSE),"BORRADO")</f>
        <v>BORRADO</v>
      </c>
      <c r="F143" s="41" t="str">
        <f>IFERROR(VLOOKUP(9494,Gastos[],6,FALSE),"BORRADO")</f>
        <v>BORRADO</v>
      </c>
      <c r="G143" s="40" t="str">
        <f>IFERROR(VLOOKUP(9494,Gastos[],7,FALSE),"BORRADO")</f>
        <v>BORRADO</v>
      </c>
      <c r="H143" s="40" t="str">
        <f>IFERROR(VLOOKUP(9494,Gastos[],8,FALSE),"BORRADO")</f>
        <v>BORRADO</v>
      </c>
      <c r="I143" s="40" t="str">
        <f>IFERROR(VLOOKUP(9494,Gastos[],9,FALSE),"BORRADO")</f>
        <v>BORRADO</v>
      </c>
    </row>
    <row r="144" spans="1:9">
      <c r="A144" s="38" t="s">
        <v>355</v>
      </c>
      <c r="B144" s="39" t="str">
        <f>IFERROR(VLOOKUP(9495,Gastos[],2,FALSE),"BORRADO")</f>
        <v>BORRADO</v>
      </c>
      <c r="C144" s="40" t="str">
        <f>IFERROR(VLOOKUP(9495,Gastos[],3,FALSE),"BORRADO")</f>
        <v>BORRADO</v>
      </c>
      <c r="D144" s="41" t="str">
        <f>IFERROR(VLOOKUP(9495,Gastos[],4,FALSE),"BORRADO")</f>
        <v>BORRADO</v>
      </c>
      <c r="E144" s="42" t="str">
        <f>IFERROR(VLOOKUP(9495,Gastos[],5,FALSE),"BORRADO")</f>
        <v>BORRADO</v>
      </c>
      <c r="F144" s="41" t="str">
        <f>IFERROR(VLOOKUP(9495,Gastos[],6,FALSE),"BORRADO")</f>
        <v>BORRADO</v>
      </c>
      <c r="G144" s="40" t="str">
        <f>IFERROR(VLOOKUP(9495,Gastos[],7,FALSE),"BORRADO")</f>
        <v>BORRADO</v>
      </c>
      <c r="H144" s="40" t="str">
        <f>IFERROR(VLOOKUP(9495,Gastos[],8,FALSE),"BORRADO")</f>
        <v>BORRADO</v>
      </c>
      <c r="I144" s="40" t="str">
        <f>IFERROR(VLOOKUP(9495,Gastos[],9,FALSE),"BORRADO")</f>
        <v>BORRADO</v>
      </c>
    </row>
    <row r="145" spans="1:9">
      <c r="A145" s="38" t="s">
        <v>355</v>
      </c>
      <c r="B145" s="39" t="str">
        <f>IFERROR(VLOOKUP(9496,Gastos[],2,FALSE),"BORRADO")</f>
        <v>BORRADO</v>
      </c>
      <c r="C145" s="40" t="str">
        <f>IFERROR(VLOOKUP(9496,Gastos[],3,FALSE),"BORRADO")</f>
        <v>BORRADO</v>
      </c>
      <c r="D145" s="41" t="str">
        <f>IFERROR(VLOOKUP(9496,Gastos[],4,FALSE),"BORRADO")</f>
        <v>BORRADO</v>
      </c>
      <c r="E145" s="42" t="str">
        <f>IFERROR(VLOOKUP(9496,Gastos[],5,FALSE),"BORRADO")</f>
        <v>BORRADO</v>
      </c>
      <c r="F145" s="41" t="str">
        <f>IFERROR(VLOOKUP(9496,Gastos[],6,FALSE),"BORRADO")</f>
        <v>BORRADO</v>
      </c>
      <c r="G145" s="40" t="str">
        <f>IFERROR(VLOOKUP(9496,Gastos[],7,FALSE),"BORRADO")</f>
        <v>BORRADO</v>
      </c>
      <c r="H145" s="40" t="str">
        <f>IFERROR(VLOOKUP(9496,Gastos[],8,FALSE),"BORRADO")</f>
        <v>BORRADO</v>
      </c>
      <c r="I145" s="40" t="str">
        <f>IFERROR(VLOOKUP(9496,Gastos[],9,FALSE),"BORRADO")</f>
        <v>BORRADO</v>
      </c>
    </row>
    <row r="146" spans="1:9">
      <c r="A146" s="38" t="s">
        <v>355</v>
      </c>
      <c r="B146" s="39" t="str">
        <f>IFERROR(VLOOKUP(9497,Gastos[],2,FALSE),"BORRADO")</f>
        <v>BORRADO</v>
      </c>
      <c r="C146" s="40" t="str">
        <f>IFERROR(VLOOKUP(9497,Gastos[],3,FALSE),"BORRADO")</f>
        <v>BORRADO</v>
      </c>
      <c r="D146" s="41" t="str">
        <f>IFERROR(VLOOKUP(9497,Gastos[],4,FALSE),"BORRADO")</f>
        <v>BORRADO</v>
      </c>
      <c r="E146" s="42" t="str">
        <f>IFERROR(VLOOKUP(9497,Gastos[],5,FALSE),"BORRADO")</f>
        <v>BORRADO</v>
      </c>
      <c r="F146" s="41" t="str">
        <f>IFERROR(VLOOKUP(9497,Gastos[],6,FALSE),"BORRADO")</f>
        <v>BORRADO</v>
      </c>
      <c r="G146" s="40" t="str">
        <f>IFERROR(VLOOKUP(9497,Gastos[],7,FALSE),"BORRADO")</f>
        <v>BORRADO</v>
      </c>
      <c r="H146" s="40" t="str">
        <f>IFERROR(VLOOKUP(9497,Gastos[],8,FALSE),"BORRADO")</f>
        <v>BORRADO</v>
      </c>
      <c r="I146" s="40" t="str">
        <f>IFERROR(VLOOKUP(9497,Gastos[],9,FALSE),"BORRADO")</f>
        <v>BORRADO</v>
      </c>
    </row>
    <row r="147" spans="1:9">
      <c r="A147" s="38" t="s">
        <v>355</v>
      </c>
      <c r="B147" s="39" t="str">
        <f>IFERROR(VLOOKUP(9498,Gastos[],2,FALSE),"BORRADO")</f>
        <v>BORRADO</v>
      </c>
      <c r="C147" s="40" t="str">
        <f>IFERROR(VLOOKUP(9498,Gastos[],3,FALSE),"BORRADO")</f>
        <v>BORRADO</v>
      </c>
      <c r="D147" s="41" t="str">
        <f>IFERROR(VLOOKUP(9498,Gastos[],4,FALSE),"BORRADO")</f>
        <v>BORRADO</v>
      </c>
      <c r="E147" s="42" t="str">
        <f>IFERROR(VLOOKUP(9498,Gastos[],5,FALSE),"BORRADO")</f>
        <v>BORRADO</v>
      </c>
      <c r="F147" s="41" t="str">
        <f>IFERROR(VLOOKUP(9498,Gastos[],6,FALSE),"BORRADO")</f>
        <v>BORRADO</v>
      </c>
      <c r="G147" s="40" t="str">
        <f>IFERROR(VLOOKUP(9498,Gastos[],7,FALSE),"BORRADO")</f>
        <v>BORRADO</v>
      </c>
      <c r="H147" s="40" t="str">
        <f>IFERROR(VLOOKUP(9498,Gastos[],8,FALSE),"BORRADO")</f>
        <v>BORRADO</v>
      </c>
      <c r="I147" s="40" t="str">
        <f>IFERROR(VLOOKUP(9498,Gastos[],9,FALSE),"BORRADO")</f>
        <v>BORRADO</v>
      </c>
    </row>
    <row r="148" spans="1:9">
      <c r="A148" s="38" t="s">
        <v>355</v>
      </c>
      <c r="B148" s="39" t="str">
        <f>IFERROR(VLOOKUP(9499,Gastos[],2,FALSE),"BORRADO")</f>
        <v>BORRADO</v>
      </c>
      <c r="C148" s="40" t="str">
        <f>IFERROR(VLOOKUP(9499,Gastos[],3,FALSE),"BORRADO")</f>
        <v>BORRADO</v>
      </c>
      <c r="D148" s="41" t="str">
        <f>IFERROR(VLOOKUP(9499,Gastos[],4,FALSE),"BORRADO")</f>
        <v>BORRADO</v>
      </c>
      <c r="E148" s="42" t="str">
        <f>IFERROR(VLOOKUP(9499,Gastos[],5,FALSE),"BORRADO")</f>
        <v>BORRADO</v>
      </c>
      <c r="F148" s="41" t="str">
        <f>IFERROR(VLOOKUP(9499,Gastos[],6,FALSE),"BORRADO")</f>
        <v>BORRADO</v>
      </c>
      <c r="G148" s="40" t="str">
        <f>IFERROR(VLOOKUP(9499,Gastos[],7,FALSE),"BORRADO")</f>
        <v>BORRADO</v>
      </c>
      <c r="H148" s="40" t="str">
        <f>IFERROR(VLOOKUP(9499,Gastos[],8,FALSE),"BORRADO")</f>
        <v>BORRADO</v>
      </c>
      <c r="I148" s="40" t="str">
        <f>IFERROR(VLOOKUP(9499,Gastos[],9,FALSE),"BORRADO")</f>
        <v>BORRADO</v>
      </c>
    </row>
    <row r="149" spans="1:9">
      <c r="A149" s="38" t="s">
        <v>355</v>
      </c>
      <c r="B149" s="39" t="str">
        <f>IFERROR(VLOOKUP(9500,Gastos[],2,FALSE),"BORRADO")</f>
        <v>BORRADO</v>
      </c>
      <c r="C149" s="40" t="str">
        <f>IFERROR(VLOOKUP(9500,Gastos[],3,FALSE),"BORRADO")</f>
        <v>BORRADO</v>
      </c>
      <c r="D149" s="41" t="str">
        <f>IFERROR(VLOOKUP(9500,Gastos[],4,FALSE),"BORRADO")</f>
        <v>BORRADO</v>
      </c>
      <c r="E149" s="42" t="str">
        <f>IFERROR(VLOOKUP(9500,Gastos[],5,FALSE),"BORRADO")</f>
        <v>BORRADO</v>
      </c>
      <c r="F149" s="41" t="str">
        <f>IFERROR(VLOOKUP(9500,Gastos[],6,FALSE),"BORRADO")</f>
        <v>BORRADO</v>
      </c>
      <c r="G149" s="40" t="str">
        <f>IFERROR(VLOOKUP(9500,Gastos[],7,FALSE),"BORRADO")</f>
        <v>BORRADO</v>
      </c>
      <c r="H149" s="40" t="str">
        <f>IFERROR(VLOOKUP(9500,Gastos[],8,FALSE),"BORRADO")</f>
        <v>BORRADO</v>
      </c>
      <c r="I149" s="40" t="str">
        <f>IFERROR(VLOOKUP(9500,Gastos[],9,FALSE),"BORRADO")</f>
        <v>BORRADO</v>
      </c>
    </row>
    <row r="150" spans="1:9">
      <c r="A150" s="38" t="s">
        <v>354</v>
      </c>
      <c r="B150" s="39">
        <f>IFERROR(VLOOKUP(3159,Depositos[],2,FALSE),"BORRADO")</f>
        <v>42979</v>
      </c>
      <c r="C150" s="40" t="str">
        <f>IFERROR(VLOOKUP(3159,Depositos[],3,FALSE),"BORRADO")</f>
        <v>RR CHEQUE</v>
      </c>
      <c r="D150" s="41">
        <f>IFERROR(VLOOKUP(3159,Depositos[],4,FALSE),"BORRADO")</f>
        <v>4020.1</v>
      </c>
      <c r="E150" s="42">
        <f>IFERROR(VLOOKUP(3159,Depositos[],5,FALSE),"BORRADO")</f>
        <v>42982</v>
      </c>
      <c r="F150" s="41">
        <f ca="1">IFERROR(VLOOKUP(3159,Depositos[],6,FALSE),"BORRADO")</f>
        <v>1036</v>
      </c>
      <c r="G150" s="40" t="str">
        <f>IFERROR(VLOOKUP(3159,Depositos[],7,FALSE),"BORRADO")</f>
        <v>INDUSTRIAL 12682995</v>
      </c>
      <c r="H150" s="40">
        <f>IFERROR(VLOOKUP(3159,Depositos[],8,FALSE),"BORRADO")</f>
        <v>0</v>
      </c>
      <c r="I150" s="40">
        <f>IFERROR(VLOOKUP(3159,Depositos[],9,FALSE),"BORRADO")</f>
        <v>0</v>
      </c>
    </row>
    <row r="151" spans="1:9">
      <c r="A151" s="38" t="s">
        <v>353</v>
      </c>
      <c r="B151" s="39" t="str">
        <f>IFERROR(VLOOKUP(1741,Chequeras[],2,FALSE),"BORRADO")</f>
        <v>BORRADO</v>
      </c>
      <c r="C151" s="40" t="str">
        <f>IFERROR(VLOOKUP(1741,Chequeras[],3,FALSE),"BORRADO")</f>
        <v>BORRADO</v>
      </c>
      <c r="D151" s="41" t="str">
        <f>IFERROR(VLOOKUP(1741,Chequeras[],4,FALSE),"BORRADO")</f>
        <v>BORRADO</v>
      </c>
      <c r="E151" s="42" t="str">
        <f>IFERROR(VLOOKUP(1741,Chequeras[],5,FALSE),"BORRADO")</f>
        <v>BORRADO</v>
      </c>
      <c r="F151" s="41" t="str">
        <f>IFERROR(VLOOKUP(1741,Chequeras[],6,FALSE),"BORRADO")</f>
        <v>BORRADO</v>
      </c>
      <c r="G151" s="40" t="str">
        <f>IFERROR(VLOOKUP(1741,Chequeras[],7,FALSE),"BORRADO")</f>
        <v>BORRADO</v>
      </c>
      <c r="H151" s="40" t="str">
        <f>IFERROR(VLOOKUP(1741,Chequeras[],8,FALSE),"BORRADO")</f>
        <v>BORRADO</v>
      </c>
      <c r="I151" s="40" t="str">
        <f>IFERROR(VLOOKUP(1741,Chequeras[],9,FALSE),"BORRADO")</f>
        <v>BORRADO</v>
      </c>
    </row>
    <row r="152" spans="1:9">
      <c r="A152" s="38" t="s">
        <v>354</v>
      </c>
      <c r="B152" s="39">
        <f>IFERROR(VLOOKUP(3155,Depositos[],2,FALSE),"BORRADO")</f>
        <v>42982</v>
      </c>
      <c r="C152" s="40" t="str">
        <f>IFERROR(VLOOKUP(3155,Depositos[],3,FALSE),"BORRADO")</f>
        <v>EFECTIVO</v>
      </c>
      <c r="D152" s="41">
        <f>IFERROR(VLOOKUP(3155,Depositos[],4,FALSE),"BORRADO")</f>
        <v>181000</v>
      </c>
      <c r="E152" s="42">
        <f>IFERROR(VLOOKUP(3155,Depositos[],5,FALSE),"BORRADO")</f>
        <v>42982</v>
      </c>
      <c r="F152" s="41">
        <f ca="1">IFERROR(VLOOKUP(3155,Depositos[],6,FALSE),"BORRADO")</f>
        <v>129264</v>
      </c>
      <c r="G152" s="40" t="str">
        <f>IFERROR(VLOOKUP(3155,Depositos[],7,FALSE),"BORRADO")</f>
        <v>EFECTIVO RR</v>
      </c>
      <c r="H152" s="40">
        <f>IFERROR(VLOOKUP(3155,Depositos[],8,FALSE),"BORRADO")</f>
        <v>0</v>
      </c>
      <c r="I152" s="40">
        <f>IFERROR(VLOOKUP(3155,Depositos[],9,FALSE),"BORRADO")</f>
        <v>0</v>
      </c>
    </row>
    <row r="153" spans="1:9">
      <c r="A153" s="38" t="s">
        <v>354</v>
      </c>
      <c r="B153" s="39">
        <f>IFERROR(VLOOKUP(3156,Depositos[],2,FALSE),"BORRADO")</f>
        <v>42982</v>
      </c>
      <c r="C153" s="40" t="str">
        <f>IFERROR(VLOOKUP(3156,Depositos[],3,FALSE),"BORRADO")</f>
        <v>EFECTIVO</v>
      </c>
      <c r="D153" s="41">
        <f>IFERROR(VLOOKUP(3156,Depositos[],4,FALSE),"BORRADO")</f>
        <v>5000</v>
      </c>
      <c r="E153" s="42">
        <f>IFERROR(VLOOKUP(3156,Depositos[],5,FALSE),"BORRADO")</f>
        <v>42982</v>
      </c>
      <c r="F153" s="41">
        <f ca="1">IFERROR(VLOOKUP(3156,Depositos[],6,FALSE),"BORRADO")</f>
        <v>1268</v>
      </c>
      <c r="G153" s="40" t="str">
        <f>IFERROR(VLOOKUP(3156,Depositos[],7,FALSE),"BORRADO")</f>
        <v>EFECTIVO RR</v>
      </c>
      <c r="H153" s="40">
        <f>IFERROR(VLOOKUP(3156,Depositos[],8,FALSE),"BORRADO")</f>
        <v>0</v>
      </c>
      <c r="I153" s="40">
        <f>IFERROR(VLOOKUP(3156,Depositos[],9,FALSE),"BORRADO")</f>
        <v>0</v>
      </c>
    </row>
    <row r="154" spans="1:9">
      <c r="A154" s="38" t="s">
        <v>354</v>
      </c>
      <c r="B154" s="39">
        <f>IFERROR(VLOOKUP(3157,Depositos[],2,FALSE),"BORRADO")</f>
        <v>42982</v>
      </c>
      <c r="C154" s="40" t="str">
        <f>IFERROR(VLOOKUP(3157,Depositos[],3,FALSE),"BORRADO")</f>
        <v>EFECTIVO</v>
      </c>
      <c r="D154" s="41">
        <f>IFERROR(VLOOKUP(3157,Depositos[],4,FALSE),"BORRADO")</f>
        <v>80000</v>
      </c>
      <c r="E154" s="42">
        <f>IFERROR(VLOOKUP(3157,Depositos[],5,FALSE),"BORRADO")</f>
        <v>42982</v>
      </c>
      <c r="F154" s="41">
        <f ca="1">IFERROR(VLOOKUP(3157,Depositos[],6,FALSE),"BORRADO")</f>
        <v>1830</v>
      </c>
      <c r="G154" s="40" t="str">
        <f>IFERROR(VLOOKUP(3157,Depositos[],7,FALSE),"BORRADO")</f>
        <v>EFECTIVO SALTA RR (H)</v>
      </c>
      <c r="H154" s="40">
        <f>IFERROR(VLOOKUP(3157,Depositos[],8,FALSE),"BORRADO")</f>
        <v>0</v>
      </c>
      <c r="I154" s="40">
        <f>IFERROR(VLOOKUP(3157,Depositos[],9,FALSE),"BORRADO")</f>
        <v>0</v>
      </c>
    </row>
    <row r="155" spans="1:9">
      <c r="A155" s="38" t="s">
        <v>354</v>
      </c>
      <c r="B155" s="39">
        <f>IFERROR(VLOOKUP(3158,Depositos[],2,FALSE),"BORRADO")</f>
        <v>42982</v>
      </c>
      <c r="C155" s="40" t="str">
        <f>IFERROR(VLOOKUP(3158,Depositos[],3,FALSE),"BORRADO")</f>
        <v>EFECTIVO</v>
      </c>
      <c r="D155" s="41">
        <f>IFERROR(VLOOKUP(3158,Depositos[],4,FALSE),"BORRADO")</f>
        <v>150000</v>
      </c>
      <c r="E155" s="42">
        <f>IFERROR(VLOOKUP(3158,Depositos[],5,FALSE),"BORRADO")</f>
        <v>42982</v>
      </c>
      <c r="F155" s="41">
        <f ca="1">IFERROR(VLOOKUP(3158,Depositos[],6,FALSE),"BORRADO")</f>
        <v>18317</v>
      </c>
      <c r="G155" s="40" t="str">
        <f>IFERROR(VLOOKUP(3158,Depositos[],7,FALSE),"BORRADO")</f>
        <v>EFECTIVO SALTA</v>
      </c>
      <c r="H155" s="40">
        <f>IFERROR(VLOOKUP(3158,Depositos[],8,FALSE),"BORRADO")</f>
        <v>0</v>
      </c>
      <c r="I155" s="40">
        <f>IFERROR(VLOOKUP(3158,Depositos[],9,FALSE),"BORRADO")</f>
        <v>0</v>
      </c>
    </row>
    <row r="156" spans="1:9">
      <c r="A156" s="38" t="s">
        <v>355</v>
      </c>
      <c r="B156" s="39" t="str">
        <f>IFERROR(VLOOKUP(9501,Gastos[],2,FALSE),"BORRADO")</f>
        <v>BORRADO</v>
      </c>
      <c r="C156" s="40" t="str">
        <f>IFERROR(VLOOKUP(9501,Gastos[],3,FALSE),"BORRADO")</f>
        <v>BORRADO</v>
      </c>
      <c r="D156" s="41" t="str">
        <f>IFERROR(VLOOKUP(9501,Gastos[],4,FALSE),"BORRADO")</f>
        <v>BORRADO</v>
      </c>
      <c r="E156" s="42" t="str">
        <f>IFERROR(VLOOKUP(9501,Gastos[],5,FALSE),"BORRADO")</f>
        <v>BORRADO</v>
      </c>
      <c r="F156" s="41" t="str">
        <f>IFERROR(VLOOKUP(9501,Gastos[],6,FALSE),"BORRADO")</f>
        <v>BORRADO</v>
      </c>
      <c r="G156" s="40" t="str">
        <f>IFERROR(VLOOKUP(9501,Gastos[],7,FALSE),"BORRADO")</f>
        <v>BORRADO</v>
      </c>
      <c r="H156" s="40" t="str">
        <f>IFERROR(VLOOKUP(9501,Gastos[],8,FALSE),"BORRADO")</f>
        <v>BORRADO</v>
      </c>
      <c r="I156" s="40" t="str">
        <f>IFERROR(VLOOKUP(9501,Gastos[],9,FALSE),"BORRADO")</f>
        <v>BORRADO</v>
      </c>
    </row>
    <row r="157" spans="1:9">
      <c r="A157" s="38" t="s">
        <v>355</v>
      </c>
      <c r="B157" s="39" t="str">
        <f>IFERROR(VLOOKUP(9502,Gastos[],2,FALSE),"BORRADO")</f>
        <v>BORRADO</v>
      </c>
      <c r="C157" s="40" t="str">
        <f>IFERROR(VLOOKUP(9502,Gastos[],3,FALSE),"BORRADO")</f>
        <v>BORRADO</v>
      </c>
      <c r="D157" s="41" t="str">
        <f>IFERROR(VLOOKUP(9502,Gastos[],4,FALSE),"BORRADO")</f>
        <v>BORRADO</v>
      </c>
      <c r="E157" s="42" t="str">
        <f>IFERROR(VLOOKUP(9502,Gastos[],5,FALSE),"BORRADO")</f>
        <v>BORRADO</v>
      </c>
      <c r="F157" s="41" t="str">
        <f>IFERROR(VLOOKUP(9502,Gastos[],6,FALSE),"BORRADO")</f>
        <v>BORRADO</v>
      </c>
      <c r="G157" s="40" t="str">
        <f>IFERROR(VLOOKUP(9502,Gastos[],7,FALSE),"BORRADO")</f>
        <v>BORRADO</v>
      </c>
      <c r="H157" s="40" t="str">
        <f>IFERROR(VLOOKUP(9502,Gastos[],8,FALSE),"BORRADO")</f>
        <v>BORRADO</v>
      </c>
      <c r="I157" s="40" t="str">
        <f>IFERROR(VLOOKUP(9502,Gastos[],9,FALSE),"BORRADO")</f>
        <v>BORRADO</v>
      </c>
    </row>
    <row r="158" spans="1:9">
      <c r="A158" s="38" t="s">
        <v>355</v>
      </c>
      <c r="B158" s="39" t="str">
        <f>IFERROR(VLOOKUP(9503,Gastos[],2,FALSE),"BORRADO")</f>
        <v>BORRADO</v>
      </c>
      <c r="C158" s="40" t="str">
        <f>IFERROR(VLOOKUP(9503,Gastos[],3,FALSE),"BORRADO")</f>
        <v>BORRADO</v>
      </c>
      <c r="D158" s="41" t="str">
        <f>IFERROR(VLOOKUP(9503,Gastos[],4,FALSE),"BORRADO")</f>
        <v>BORRADO</v>
      </c>
      <c r="E158" s="42" t="str">
        <f>IFERROR(VLOOKUP(9503,Gastos[],5,FALSE),"BORRADO")</f>
        <v>BORRADO</v>
      </c>
      <c r="F158" s="41" t="str">
        <f>IFERROR(VLOOKUP(9503,Gastos[],6,FALSE),"BORRADO")</f>
        <v>BORRADO</v>
      </c>
      <c r="G158" s="40" t="str">
        <f>IFERROR(VLOOKUP(9503,Gastos[],7,FALSE),"BORRADO")</f>
        <v>BORRADO</v>
      </c>
      <c r="H158" s="40" t="str">
        <f>IFERROR(VLOOKUP(9503,Gastos[],8,FALSE),"BORRADO")</f>
        <v>BORRADO</v>
      </c>
      <c r="I158" s="40" t="str">
        <f>IFERROR(VLOOKUP(9503,Gastos[],9,FALSE),"BORRADO")</f>
        <v>BORRADO</v>
      </c>
    </row>
    <row r="159" spans="1:9">
      <c r="A159" s="38" t="s">
        <v>355</v>
      </c>
      <c r="B159" s="39" t="str">
        <f>IFERROR(VLOOKUP(9504,Gastos[],2,FALSE),"BORRADO")</f>
        <v>BORRADO</v>
      </c>
      <c r="C159" s="40" t="str">
        <f>IFERROR(VLOOKUP(9504,Gastos[],3,FALSE),"BORRADO")</f>
        <v>BORRADO</v>
      </c>
      <c r="D159" s="41" t="str">
        <f>IFERROR(VLOOKUP(9504,Gastos[],4,FALSE),"BORRADO")</f>
        <v>BORRADO</v>
      </c>
      <c r="E159" s="42" t="str">
        <f>IFERROR(VLOOKUP(9504,Gastos[],5,FALSE),"BORRADO")</f>
        <v>BORRADO</v>
      </c>
      <c r="F159" s="41" t="str">
        <f>IFERROR(VLOOKUP(9504,Gastos[],6,FALSE),"BORRADO")</f>
        <v>BORRADO</v>
      </c>
      <c r="G159" s="40" t="str">
        <f>IFERROR(VLOOKUP(9504,Gastos[],7,FALSE),"BORRADO")</f>
        <v>BORRADO</v>
      </c>
      <c r="H159" s="40" t="str">
        <f>IFERROR(VLOOKUP(9504,Gastos[],8,FALSE),"BORRADO")</f>
        <v>BORRADO</v>
      </c>
      <c r="I159" s="40" t="str">
        <f>IFERROR(VLOOKUP(9504,Gastos[],9,FALSE),"BORRADO")</f>
        <v>BORRADO</v>
      </c>
    </row>
    <row r="160" spans="1:9">
      <c r="A160" s="38" t="s">
        <v>355</v>
      </c>
      <c r="B160" s="39" t="str">
        <f>IFERROR(VLOOKUP(9505,Gastos[],2,FALSE),"BORRADO")</f>
        <v>BORRADO</v>
      </c>
      <c r="C160" s="40" t="str">
        <f>IFERROR(VLOOKUP(9505,Gastos[],3,FALSE),"BORRADO")</f>
        <v>BORRADO</v>
      </c>
      <c r="D160" s="41" t="str">
        <f>IFERROR(VLOOKUP(9505,Gastos[],4,FALSE),"BORRADO")</f>
        <v>BORRADO</v>
      </c>
      <c r="E160" s="42" t="str">
        <f>IFERROR(VLOOKUP(9505,Gastos[],5,FALSE),"BORRADO")</f>
        <v>BORRADO</v>
      </c>
      <c r="F160" s="41" t="str">
        <f>IFERROR(VLOOKUP(9505,Gastos[],6,FALSE),"BORRADO")</f>
        <v>BORRADO</v>
      </c>
      <c r="G160" s="40" t="str">
        <f>IFERROR(VLOOKUP(9505,Gastos[],7,FALSE),"BORRADO")</f>
        <v>BORRADO</v>
      </c>
      <c r="H160" s="40" t="str">
        <f>IFERROR(VLOOKUP(9505,Gastos[],8,FALSE),"BORRADO")</f>
        <v>BORRADO</v>
      </c>
      <c r="I160" s="40" t="str">
        <f>IFERROR(VLOOKUP(9505,Gastos[],9,FALSE),"BORRADO")</f>
        <v>BORRADO</v>
      </c>
    </row>
    <row r="161" spans="1:9">
      <c r="A161" s="38" t="s">
        <v>355</v>
      </c>
      <c r="B161" s="39" t="str">
        <f>IFERROR(VLOOKUP(9506,Gastos[],2,FALSE),"BORRADO")</f>
        <v>BORRADO</v>
      </c>
      <c r="C161" s="40" t="str">
        <f>IFERROR(VLOOKUP(9506,Gastos[],3,FALSE),"BORRADO")</f>
        <v>BORRADO</v>
      </c>
      <c r="D161" s="41" t="str">
        <f>IFERROR(VLOOKUP(9506,Gastos[],4,FALSE),"BORRADO")</f>
        <v>BORRADO</v>
      </c>
      <c r="E161" s="42" t="str">
        <f>IFERROR(VLOOKUP(9506,Gastos[],5,FALSE),"BORRADO")</f>
        <v>BORRADO</v>
      </c>
      <c r="F161" s="41" t="str">
        <f>IFERROR(VLOOKUP(9506,Gastos[],6,FALSE),"BORRADO")</f>
        <v>BORRADO</v>
      </c>
      <c r="G161" s="40" t="str">
        <f>IFERROR(VLOOKUP(9506,Gastos[],7,FALSE),"BORRADO")</f>
        <v>BORRADO</v>
      </c>
      <c r="H161" s="40" t="str">
        <f>IFERROR(VLOOKUP(9506,Gastos[],8,FALSE),"BORRADO")</f>
        <v>BORRADO</v>
      </c>
      <c r="I161" s="40" t="str">
        <f>IFERROR(VLOOKUP(9506,Gastos[],9,FALSE),"BORRADO")</f>
        <v>BORRADO</v>
      </c>
    </row>
    <row r="162" spans="1:9">
      <c r="A162" s="38" t="s">
        <v>355</v>
      </c>
      <c r="B162" s="39" t="str">
        <f>IFERROR(VLOOKUP(9507,Gastos[],2,FALSE),"BORRADO")</f>
        <v>BORRADO</v>
      </c>
      <c r="C162" s="40" t="str">
        <f>IFERROR(VLOOKUP(9507,Gastos[],3,FALSE),"BORRADO")</f>
        <v>BORRADO</v>
      </c>
      <c r="D162" s="41" t="str">
        <f>IFERROR(VLOOKUP(9507,Gastos[],4,FALSE),"BORRADO")</f>
        <v>BORRADO</v>
      </c>
      <c r="E162" s="42" t="str">
        <f>IFERROR(VLOOKUP(9507,Gastos[],5,FALSE),"BORRADO")</f>
        <v>BORRADO</v>
      </c>
      <c r="F162" s="41" t="str">
        <f>IFERROR(VLOOKUP(9507,Gastos[],6,FALSE),"BORRADO")</f>
        <v>BORRADO</v>
      </c>
      <c r="G162" s="40" t="str">
        <f>IFERROR(VLOOKUP(9507,Gastos[],7,FALSE),"BORRADO")</f>
        <v>BORRADO</v>
      </c>
      <c r="H162" s="40" t="str">
        <f>IFERROR(VLOOKUP(9507,Gastos[],8,FALSE),"BORRADO")</f>
        <v>BORRADO</v>
      </c>
      <c r="I162" s="40" t="str">
        <f>IFERROR(VLOOKUP(9507,Gastos[],9,FALSE),"BORRADO")</f>
        <v>BORRADO</v>
      </c>
    </row>
    <row r="163" spans="1:9">
      <c r="A163" s="38" t="s">
        <v>355</v>
      </c>
      <c r="B163" s="39" t="str">
        <f>IFERROR(VLOOKUP(9508,Gastos[],2,FALSE),"BORRADO")</f>
        <v>BORRADO</v>
      </c>
      <c r="C163" s="40" t="str">
        <f>IFERROR(VLOOKUP(9508,Gastos[],3,FALSE),"BORRADO")</f>
        <v>BORRADO</v>
      </c>
      <c r="D163" s="41" t="str">
        <f>IFERROR(VLOOKUP(9508,Gastos[],4,FALSE),"BORRADO")</f>
        <v>BORRADO</v>
      </c>
      <c r="E163" s="42" t="str">
        <f>IFERROR(VLOOKUP(9508,Gastos[],5,FALSE),"BORRADO")</f>
        <v>BORRADO</v>
      </c>
      <c r="F163" s="41" t="str">
        <f>IFERROR(VLOOKUP(9508,Gastos[],6,FALSE),"BORRADO")</f>
        <v>BORRADO</v>
      </c>
      <c r="G163" s="40" t="str">
        <f>IFERROR(VLOOKUP(9508,Gastos[],7,FALSE),"BORRADO")</f>
        <v>BORRADO</v>
      </c>
      <c r="H163" s="40" t="str">
        <f>IFERROR(VLOOKUP(9508,Gastos[],8,FALSE),"BORRADO")</f>
        <v>BORRADO</v>
      </c>
      <c r="I163" s="40" t="str">
        <f>IFERROR(VLOOKUP(9508,Gastos[],9,FALSE),"BORRADO")</f>
        <v>BORRADO</v>
      </c>
    </row>
    <row r="164" spans="1:9">
      <c r="A164" s="38" t="s">
        <v>355</v>
      </c>
      <c r="B164" s="39" t="str">
        <f>IFERROR(VLOOKUP(9509,Gastos[],2,FALSE),"BORRADO")</f>
        <v>BORRADO</v>
      </c>
      <c r="C164" s="40" t="str">
        <f>IFERROR(VLOOKUP(9509,Gastos[],3,FALSE),"BORRADO")</f>
        <v>BORRADO</v>
      </c>
      <c r="D164" s="41" t="str">
        <f>IFERROR(VLOOKUP(9509,Gastos[],4,FALSE),"BORRADO")</f>
        <v>BORRADO</v>
      </c>
      <c r="E164" s="42" t="str">
        <f>IFERROR(VLOOKUP(9509,Gastos[],5,FALSE),"BORRADO")</f>
        <v>BORRADO</v>
      </c>
      <c r="F164" s="41" t="str">
        <f>IFERROR(VLOOKUP(9509,Gastos[],6,FALSE),"BORRADO")</f>
        <v>BORRADO</v>
      </c>
      <c r="G164" s="40" t="str">
        <f>IFERROR(VLOOKUP(9509,Gastos[],7,FALSE),"BORRADO")</f>
        <v>BORRADO</v>
      </c>
      <c r="H164" s="40" t="str">
        <f>IFERROR(VLOOKUP(9509,Gastos[],8,FALSE),"BORRADO")</f>
        <v>BORRADO</v>
      </c>
      <c r="I164" s="40" t="str">
        <f>IFERROR(VLOOKUP(9509,Gastos[],9,FALSE),"BORRADO")</f>
        <v>BORRADO</v>
      </c>
    </row>
    <row r="165" spans="1:9">
      <c r="A165" s="38" t="s">
        <v>355</v>
      </c>
      <c r="B165" s="39" t="str">
        <f>IFERROR(VLOOKUP(9510,Gastos[],2,FALSE),"BORRADO")</f>
        <v>BORRADO</v>
      </c>
      <c r="C165" s="40" t="str">
        <f>IFERROR(VLOOKUP(9510,Gastos[],3,FALSE),"BORRADO")</f>
        <v>BORRADO</v>
      </c>
      <c r="D165" s="41" t="str">
        <f>IFERROR(VLOOKUP(9510,Gastos[],4,FALSE),"BORRADO")</f>
        <v>BORRADO</v>
      </c>
      <c r="E165" s="42" t="str">
        <f>IFERROR(VLOOKUP(9510,Gastos[],5,FALSE),"BORRADO")</f>
        <v>BORRADO</v>
      </c>
      <c r="F165" s="41" t="str">
        <f>IFERROR(VLOOKUP(9510,Gastos[],6,FALSE),"BORRADO")</f>
        <v>BORRADO</v>
      </c>
      <c r="G165" s="40" t="str">
        <f>IFERROR(VLOOKUP(9510,Gastos[],7,FALSE),"BORRADO")</f>
        <v>BORRADO</v>
      </c>
      <c r="H165" s="40" t="str">
        <f>IFERROR(VLOOKUP(9510,Gastos[],8,FALSE),"BORRADO")</f>
        <v>BORRADO</v>
      </c>
      <c r="I165" s="40" t="str">
        <f>IFERROR(VLOOKUP(9510,Gastos[],9,FALSE),"BORRADO")</f>
        <v>BORRADO</v>
      </c>
    </row>
    <row r="166" spans="1:9">
      <c r="A166" s="38" t="s">
        <v>355</v>
      </c>
      <c r="B166" s="39" t="str">
        <f>IFERROR(VLOOKUP(9511,Gastos[],2,FALSE),"BORRADO")</f>
        <v>BORRADO</v>
      </c>
      <c r="C166" s="40" t="str">
        <f>IFERROR(VLOOKUP(9511,Gastos[],3,FALSE),"BORRADO")</f>
        <v>BORRADO</v>
      </c>
      <c r="D166" s="41" t="str">
        <f>IFERROR(VLOOKUP(9511,Gastos[],4,FALSE),"BORRADO")</f>
        <v>BORRADO</v>
      </c>
      <c r="E166" s="42" t="str">
        <f>IFERROR(VLOOKUP(9511,Gastos[],5,FALSE),"BORRADO")</f>
        <v>BORRADO</v>
      </c>
      <c r="F166" s="41" t="str">
        <f>IFERROR(VLOOKUP(9511,Gastos[],6,FALSE),"BORRADO")</f>
        <v>BORRADO</v>
      </c>
      <c r="G166" s="40" t="str">
        <f>IFERROR(VLOOKUP(9511,Gastos[],7,FALSE),"BORRADO")</f>
        <v>BORRADO</v>
      </c>
      <c r="H166" s="40" t="str">
        <f>IFERROR(VLOOKUP(9511,Gastos[],8,FALSE),"BORRADO")</f>
        <v>BORRADO</v>
      </c>
      <c r="I166" s="40" t="str">
        <f>IFERROR(VLOOKUP(9511,Gastos[],9,FALSE),"BORRADO")</f>
        <v>BORRADO</v>
      </c>
    </row>
    <row r="167" spans="1:9">
      <c r="A167" s="38" t="s">
        <v>355</v>
      </c>
      <c r="B167" s="39" t="str">
        <f>IFERROR(VLOOKUP(9512,Gastos[],2,FALSE),"BORRADO")</f>
        <v>BORRADO</v>
      </c>
      <c r="C167" s="40" t="str">
        <f>IFERROR(VLOOKUP(9512,Gastos[],3,FALSE),"BORRADO")</f>
        <v>BORRADO</v>
      </c>
      <c r="D167" s="41" t="str">
        <f>IFERROR(VLOOKUP(9512,Gastos[],4,FALSE),"BORRADO")</f>
        <v>BORRADO</v>
      </c>
      <c r="E167" s="42" t="str">
        <f>IFERROR(VLOOKUP(9512,Gastos[],5,FALSE),"BORRADO")</f>
        <v>BORRADO</v>
      </c>
      <c r="F167" s="41" t="str">
        <f>IFERROR(VLOOKUP(9512,Gastos[],6,FALSE),"BORRADO")</f>
        <v>BORRADO</v>
      </c>
      <c r="G167" s="40" t="str">
        <f>IFERROR(VLOOKUP(9512,Gastos[],7,FALSE),"BORRADO")</f>
        <v>BORRADO</v>
      </c>
      <c r="H167" s="40" t="str">
        <f>IFERROR(VLOOKUP(9512,Gastos[],8,FALSE),"BORRADO")</f>
        <v>BORRADO</v>
      </c>
      <c r="I167" s="40" t="str">
        <f>IFERROR(VLOOKUP(9512,Gastos[],9,FALSE),"BORRADO")</f>
        <v>BORRADO</v>
      </c>
    </row>
    <row r="168" spans="1:9">
      <c r="A168" s="38" t="s">
        <v>355</v>
      </c>
      <c r="B168" s="39" t="str">
        <f>IFERROR(VLOOKUP(9513,Gastos[],2,FALSE),"BORRADO")</f>
        <v>BORRADO</v>
      </c>
      <c r="C168" s="40" t="str">
        <f>IFERROR(VLOOKUP(9513,Gastos[],3,FALSE),"BORRADO")</f>
        <v>BORRADO</v>
      </c>
      <c r="D168" s="41" t="str">
        <f>IFERROR(VLOOKUP(9513,Gastos[],4,FALSE),"BORRADO")</f>
        <v>BORRADO</v>
      </c>
      <c r="E168" s="42" t="str">
        <f>IFERROR(VLOOKUP(9513,Gastos[],5,FALSE),"BORRADO")</f>
        <v>BORRADO</v>
      </c>
      <c r="F168" s="41" t="str">
        <f>IFERROR(VLOOKUP(9513,Gastos[],6,FALSE),"BORRADO")</f>
        <v>BORRADO</v>
      </c>
      <c r="G168" s="40" t="str">
        <f>IFERROR(VLOOKUP(9513,Gastos[],7,FALSE),"BORRADO")</f>
        <v>BORRADO</v>
      </c>
      <c r="H168" s="40" t="str">
        <f>IFERROR(VLOOKUP(9513,Gastos[],8,FALSE),"BORRADO")</f>
        <v>BORRADO</v>
      </c>
      <c r="I168" s="40" t="str">
        <f>IFERROR(VLOOKUP(9513,Gastos[],9,FALSE),"BORRADO")</f>
        <v>BORRADO</v>
      </c>
    </row>
    <row r="169" spans="1:9">
      <c r="A169" s="38" t="s">
        <v>355</v>
      </c>
      <c r="B169" s="39" t="str">
        <f>IFERROR(VLOOKUP(9514,Gastos[],2,FALSE),"BORRADO")</f>
        <v>BORRADO</v>
      </c>
      <c r="C169" s="40" t="str">
        <f>IFERROR(VLOOKUP(9514,Gastos[],3,FALSE),"BORRADO")</f>
        <v>BORRADO</v>
      </c>
      <c r="D169" s="41" t="str">
        <f>IFERROR(VLOOKUP(9514,Gastos[],4,FALSE),"BORRADO")</f>
        <v>BORRADO</v>
      </c>
      <c r="E169" s="42" t="str">
        <f>IFERROR(VLOOKUP(9514,Gastos[],5,FALSE),"BORRADO")</f>
        <v>BORRADO</v>
      </c>
      <c r="F169" s="41" t="str">
        <f>IFERROR(VLOOKUP(9514,Gastos[],6,FALSE),"BORRADO")</f>
        <v>BORRADO</v>
      </c>
      <c r="G169" s="40" t="str">
        <f>IFERROR(VLOOKUP(9514,Gastos[],7,FALSE),"BORRADO")</f>
        <v>BORRADO</v>
      </c>
      <c r="H169" s="40" t="str">
        <f>IFERROR(VLOOKUP(9514,Gastos[],8,FALSE),"BORRADO")</f>
        <v>BORRADO</v>
      </c>
      <c r="I169" s="40" t="str">
        <f>IFERROR(VLOOKUP(9514,Gastos[],9,FALSE),"BORRADO")</f>
        <v>BORRADO</v>
      </c>
    </row>
    <row r="170" spans="1:9">
      <c r="A170" s="38" t="s">
        <v>355</v>
      </c>
      <c r="B170" s="39" t="str">
        <f>IFERROR(VLOOKUP(9515,Gastos[],2,FALSE),"BORRADO")</f>
        <v>BORRADO</v>
      </c>
      <c r="C170" s="40" t="str">
        <f>IFERROR(VLOOKUP(9515,Gastos[],3,FALSE),"BORRADO")</f>
        <v>BORRADO</v>
      </c>
      <c r="D170" s="41" t="str">
        <f>IFERROR(VLOOKUP(9515,Gastos[],4,FALSE),"BORRADO")</f>
        <v>BORRADO</v>
      </c>
      <c r="E170" s="42" t="str">
        <f>IFERROR(VLOOKUP(9515,Gastos[],5,FALSE),"BORRADO")</f>
        <v>BORRADO</v>
      </c>
      <c r="F170" s="41" t="str">
        <f>IFERROR(VLOOKUP(9515,Gastos[],6,FALSE),"BORRADO")</f>
        <v>BORRADO</v>
      </c>
      <c r="G170" s="40" t="str">
        <f>IFERROR(VLOOKUP(9515,Gastos[],7,FALSE),"BORRADO")</f>
        <v>BORRADO</v>
      </c>
      <c r="H170" s="40" t="str">
        <f>IFERROR(VLOOKUP(9515,Gastos[],8,FALSE),"BORRADO")</f>
        <v>BORRADO</v>
      </c>
      <c r="I170" s="40" t="str">
        <f>IFERROR(VLOOKUP(9515,Gastos[],9,FALSE),"BORRADO")</f>
        <v>BORRADO</v>
      </c>
    </row>
    <row r="171" spans="1:9">
      <c r="A171" s="38" t="s">
        <v>355</v>
      </c>
      <c r="B171" s="39" t="str">
        <f>IFERROR(VLOOKUP(9516,Gastos[],2,FALSE),"BORRADO")</f>
        <v>BORRADO</v>
      </c>
      <c r="C171" s="40" t="str">
        <f>IFERROR(VLOOKUP(9516,Gastos[],3,FALSE),"BORRADO")</f>
        <v>BORRADO</v>
      </c>
      <c r="D171" s="41" t="str">
        <f>IFERROR(VLOOKUP(9516,Gastos[],4,FALSE),"BORRADO")</f>
        <v>BORRADO</v>
      </c>
      <c r="E171" s="42" t="str">
        <f>IFERROR(VLOOKUP(9516,Gastos[],5,FALSE),"BORRADO")</f>
        <v>BORRADO</v>
      </c>
      <c r="F171" s="41" t="str">
        <f>IFERROR(VLOOKUP(9516,Gastos[],6,FALSE),"BORRADO")</f>
        <v>BORRADO</v>
      </c>
      <c r="G171" s="40" t="str">
        <f>IFERROR(VLOOKUP(9516,Gastos[],7,FALSE),"BORRADO")</f>
        <v>BORRADO</v>
      </c>
      <c r="H171" s="40" t="str">
        <f>IFERROR(VLOOKUP(9516,Gastos[],8,FALSE),"BORRADO")</f>
        <v>BORRADO</v>
      </c>
      <c r="I171" s="40" t="str">
        <f>IFERROR(VLOOKUP(9516,Gastos[],9,FALSE),"BORRADO")</f>
        <v>BORRADO</v>
      </c>
    </row>
    <row r="172" spans="1:9">
      <c r="A172" s="38" t="s">
        <v>355</v>
      </c>
      <c r="B172" s="39" t="str">
        <f>IFERROR(VLOOKUP(9517,Gastos[],2,FALSE),"BORRADO")</f>
        <v>BORRADO</v>
      </c>
      <c r="C172" s="40" t="str">
        <f>IFERROR(VLOOKUP(9517,Gastos[],3,FALSE),"BORRADO")</f>
        <v>BORRADO</v>
      </c>
      <c r="D172" s="41" t="str">
        <f>IFERROR(VLOOKUP(9517,Gastos[],4,FALSE),"BORRADO")</f>
        <v>BORRADO</v>
      </c>
      <c r="E172" s="42" t="str">
        <f>IFERROR(VLOOKUP(9517,Gastos[],5,FALSE),"BORRADO")</f>
        <v>BORRADO</v>
      </c>
      <c r="F172" s="41" t="str">
        <f>IFERROR(VLOOKUP(9517,Gastos[],6,FALSE),"BORRADO")</f>
        <v>BORRADO</v>
      </c>
      <c r="G172" s="40" t="str">
        <f>IFERROR(VLOOKUP(9517,Gastos[],7,FALSE),"BORRADO")</f>
        <v>BORRADO</v>
      </c>
      <c r="H172" s="40" t="str">
        <f>IFERROR(VLOOKUP(9517,Gastos[],8,FALSE),"BORRADO")</f>
        <v>BORRADO</v>
      </c>
      <c r="I172" s="40" t="str">
        <f>IFERROR(VLOOKUP(9517,Gastos[],9,FALSE),"BORRADO")</f>
        <v>BORRADO</v>
      </c>
    </row>
    <row r="173" spans="1:9">
      <c r="A173" s="38" t="s">
        <v>355</v>
      </c>
      <c r="B173" s="39" t="str">
        <f>IFERROR(VLOOKUP(9518,Gastos[],2,FALSE),"BORRADO")</f>
        <v>BORRADO</v>
      </c>
      <c r="C173" s="40" t="str">
        <f>IFERROR(VLOOKUP(9518,Gastos[],3,FALSE),"BORRADO")</f>
        <v>BORRADO</v>
      </c>
      <c r="D173" s="41" t="str">
        <f>IFERROR(VLOOKUP(9518,Gastos[],4,FALSE),"BORRADO")</f>
        <v>BORRADO</v>
      </c>
      <c r="E173" s="42" t="str">
        <f>IFERROR(VLOOKUP(9518,Gastos[],5,FALSE),"BORRADO")</f>
        <v>BORRADO</v>
      </c>
      <c r="F173" s="41" t="str">
        <f>IFERROR(VLOOKUP(9518,Gastos[],6,FALSE),"BORRADO")</f>
        <v>BORRADO</v>
      </c>
      <c r="G173" s="40" t="str">
        <f>IFERROR(VLOOKUP(9518,Gastos[],7,FALSE),"BORRADO")</f>
        <v>BORRADO</v>
      </c>
      <c r="H173" s="40" t="str">
        <f>IFERROR(VLOOKUP(9518,Gastos[],8,FALSE),"BORRADO")</f>
        <v>BORRADO</v>
      </c>
      <c r="I173" s="40" t="str">
        <f>IFERROR(VLOOKUP(9518,Gastos[],9,FALSE),"BORRADO")</f>
        <v>BORRADO</v>
      </c>
    </row>
    <row r="174" spans="1:9">
      <c r="A174" s="38" t="s">
        <v>355</v>
      </c>
      <c r="B174" s="39" t="str">
        <f>IFERROR(VLOOKUP(9519,Gastos[],2,FALSE),"BORRADO")</f>
        <v>BORRADO</v>
      </c>
      <c r="C174" s="40" t="str">
        <f>IFERROR(VLOOKUP(9519,Gastos[],3,FALSE),"BORRADO")</f>
        <v>BORRADO</v>
      </c>
      <c r="D174" s="41" t="str">
        <f>IFERROR(VLOOKUP(9519,Gastos[],4,FALSE),"BORRADO")</f>
        <v>BORRADO</v>
      </c>
      <c r="E174" s="42" t="str">
        <f>IFERROR(VLOOKUP(9519,Gastos[],5,FALSE),"BORRADO")</f>
        <v>BORRADO</v>
      </c>
      <c r="F174" s="41" t="str">
        <f>IFERROR(VLOOKUP(9519,Gastos[],6,FALSE),"BORRADO")</f>
        <v>BORRADO</v>
      </c>
      <c r="G174" s="40" t="str">
        <f>IFERROR(VLOOKUP(9519,Gastos[],7,FALSE),"BORRADO")</f>
        <v>BORRADO</v>
      </c>
      <c r="H174" s="40" t="str">
        <f>IFERROR(VLOOKUP(9519,Gastos[],8,FALSE),"BORRADO")</f>
        <v>BORRADO</v>
      </c>
      <c r="I174" s="40" t="str">
        <f>IFERROR(VLOOKUP(9519,Gastos[],9,FALSE),"BORRADO")</f>
        <v>BORRADO</v>
      </c>
    </row>
    <row r="175" spans="1:9">
      <c r="A175" s="38" t="s">
        <v>354</v>
      </c>
      <c r="B175" s="39">
        <f>IFERROR(VLOOKUP(3160,Depositos[],2,FALSE),"BORRADO")</f>
        <v>42982</v>
      </c>
      <c r="C175" s="40" t="str">
        <f>IFERROR(VLOOKUP(3160,Depositos[],3,FALSE),"BORRADO")</f>
        <v>RR CHEQUE</v>
      </c>
      <c r="D175" s="41">
        <f>IFERROR(VLOOKUP(3160,Depositos[],4,FALSE),"BORRADO")</f>
        <v>5000</v>
      </c>
      <c r="E175" s="42">
        <f>IFERROR(VLOOKUP(3160,Depositos[],5,FALSE),"BORRADO")</f>
        <v>42983</v>
      </c>
      <c r="F175" s="41">
        <f ca="1">IFERROR(VLOOKUP(3160,Depositos[],6,FALSE),"BORRADO")</f>
        <v>4327</v>
      </c>
      <c r="G175" s="40" t="str">
        <f>IFERROR(VLOOKUP(3160,Depositos[],7,FALSE),"BORRADO")</f>
        <v>MACRO 63846035</v>
      </c>
      <c r="H175" s="40">
        <f>IFERROR(VLOOKUP(3160,Depositos[],8,FALSE),"BORRADO")</f>
        <v>0</v>
      </c>
      <c r="I175" s="40">
        <f>IFERROR(VLOOKUP(3160,Depositos[],9,FALSE),"BORRADO")</f>
        <v>0</v>
      </c>
    </row>
    <row r="176" spans="1:9">
      <c r="A176" s="38" t="s">
        <v>354</v>
      </c>
      <c r="B176" s="39">
        <f>IFERROR(VLOOKUP(3161,Depositos[],2,FALSE),"BORRADO")</f>
        <v>42983</v>
      </c>
      <c r="C176" s="40" t="str">
        <f>IFERROR(VLOOKUP(3161,Depositos[],3,FALSE),"BORRADO")</f>
        <v>EFECTIVO</v>
      </c>
      <c r="D176" s="41">
        <f>IFERROR(VLOOKUP(3161,Depositos[],4,FALSE),"BORRADO")</f>
        <v>100000</v>
      </c>
      <c r="E176" s="42">
        <f>IFERROR(VLOOKUP(3161,Depositos[],5,FALSE),"BORRADO")</f>
        <v>42983</v>
      </c>
      <c r="F176" s="41">
        <f ca="1">IFERROR(VLOOKUP(3161,Depositos[],6,FALSE),"BORRADO")</f>
        <v>7805</v>
      </c>
      <c r="G176" s="40" t="str">
        <f>IFERROR(VLOOKUP(3161,Depositos[],7,FALSE),"BORRADO")</f>
        <v>EFECTIVO RR</v>
      </c>
      <c r="H176" s="40">
        <f>IFERROR(VLOOKUP(3161,Depositos[],8,FALSE),"BORRADO")</f>
        <v>0</v>
      </c>
      <c r="I176" s="40">
        <f>IFERROR(VLOOKUP(3161,Depositos[],9,FALSE),"BORRADO")</f>
        <v>0</v>
      </c>
    </row>
    <row r="177" spans="1:9">
      <c r="A177" s="38" t="s">
        <v>355</v>
      </c>
      <c r="B177" s="39" t="str">
        <f>IFERROR(VLOOKUP(9520,Gastos[],2,FALSE),"BORRADO")</f>
        <v>BORRADO</v>
      </c>
      <c r="C177" s="40" t="str">
        <f>IFERROR(VLOOKUP(9520,Gastos[],3,FALSE),"BORRADO")</f>
        <v>BORRADO</v>
      </c>
      <c r="D177" s="41" t="str">
        <f>IFERROR(VLOOKUP(9520,Gastos[],4,FALSE),"BORRADO")</f>
        <v>BORRADO</v>
      </c>
      <c r="E177" s="42" t="str">
        <f>IFERROR(VLOOKUP(9520,Gastos[],5,FALSE),"BORRADO")</f>
        <v>BORRADO</v>
      </c>
      <c r="F177" s="41" t="str">
        <f>IFERROR(VLOOKUP(9520,Gastos[],6,FALSE),"BORRADO")</f>
        <v>BORRADO</v>
      </c>
      <c r="G177" s="40" t="str">
        <f>IFERROR(VLOOKUP(9520,Gastos[],7,FALSE),"BORRADO")</f>
        <v>BORRADO</v>
      </c>
      <c r="H177" s="40" t="str">
        <f>IFERROR(VLOOKUP(9520,Gastos[],8,FALSE),"BORRADO")</f>
        <v>BORRADO</v>
      </c>
      <c r="I177" s="40" t="str">
        <f>IFERROR(VLOOKUP(9520,Gastos[],9,FALSE),"BORRADO")</f>
        <v>BORRADO</v>
      </c>
    </row>
    <row r="178" spans="1:9">
      <c r="A178" s="38" t="s">
        <v>355</v>
      </c>
      <c r="B178" s="39" t="str">
        <f>IFERROR(VLOOKUP(9521,Gastos[],2,FALSE),"BORRADO")</f>
        <v>BORRADO</v>
      </c>
      <c r="C178" s="40" t="str">
        <f>IFERROR(VLOOKUP(9521,Gastos[],3,FALSE),"BORRADO")</f>
        <v>BORRADO</v>
      </c>
      <c r="D178" s="41" t="str">
        <f>IFERROR(VLOOKUP(9521,Gastos[],4,FALSE),"BORRADO")</f>
        <v>BORRADO</v>
      </c>
      <c r="E178" s="42" t="str">
        <f>IFERROR(VLOOKUP(9521,Gastos[],5,FALSE),"BORRADO")</f>
        <v>BORRADO</v>
      </c>
      <c r="F178" s="41" t="str">
        <f>IFERROR(VLOOKUP(9521,Gastos[],6,FALSE),"BORRADO")</f>
        <v>BORRADO</v>
      </c>
      <c r="G178" s="40" t="str">
        <f>IFERROR(VLOOKUP(9521,Gastos[],7,FALSE),"BORRADO")</f>
        <v>BORRADO</v>
      </c>
      <c r="H178" s="40" t="str">
        <f>IFERROR(VLOOKUP(9521,Gastos[],8,FALSE),"BORRADO")</f>
        <v>BORRADO</v>
      </c>
      <c r="I178" s="40" t="str">
        <f>IFERROR(VLOOKUP(9521,Gastos[],9,FALSE),"BORRADO")</f>
        <v>BORRADO</v>
      </c>
    </row>
    <row r="179" spans="1:9">
      <c r="A179" s="38" t="s">
        <v>355</v>
      </c>
      <c r="B179" s="39" t="str">
        <f>IFERROR(VLOOKUP(9522,Gastos[],2,FALSE),"BORRADO")</f>
        <v>BORRADO</v>
      </c>
      <c r="C179" s="40" t="str">
        <f>IFERROR(VLOOKUP(9522,Gastos[],3,FALSE),"BORRADO")</f>
        <v>BORRADO</v>
      </c>
      <c r="D179" s="41" t="str">
        <f>IFERROR(VLOOKUP(9522,Gastos[],4,FALSE),"BORRADO")</f>
        <v>BORRADO</v>
      </c>
      <c r="E179" s="42" t="str">
        <f>IFERROR(VLOOKUP(9522,Gastos[],5,FALSE),"BORRADO")</f>
        <v>BORRADO</v>
      </c>
      <c r="F179" s="41" t="str">
        <f>IFERROR(VLOOKUP(9522,Gastos[],6,FALSE),"BORRADO")</f>
        <v>BORRADO</v>
      </c>
      <c r="G179" s="40" t="str">
        <f>IFERROR(VLOOKUP(9522,Gastos[],7,FALSE),"BORRADO")</f>
        <v>BORRADO</v>
      </c>
      <c r="H179" s="40" t="str">
        <f>IFERROR(VLOOKUP(9522,Gastos[],8,FALSE),"BORRADO")</f>
        <v>BORRADO</v>
      </c>
      <c r="I179" s="40" t="str">
        <f>IFERROR(VLOOKUP(9522,Gastos[],9,FALSE),"BORRADO")</f>
        <v>BORRADO</v>
      </c>
    </row>
    <row r="180" spans="1:9">
      <c r="A180" s="38" t="s">
        <v>355</v>
      </c>
      <c r="B180" s="39" t="str">
        <f>IFERROR(VLOOKUP(9523,Gastos[],2,FALSE),"BORRADO")</f>
        <v>BORRADO</v>
      </c>
      <c r="C180" s="40" t="str">
        <f>IFERROR(VLOOKUP(9523,Gastos[],3,FALSE),"BORRADO")</f>
        <v>BORRADO</v>
      </c>
      <c r="D180" s="41" t="str">
        <f>IFERROR(VLOOKUP(9523,Gastos[],4,FALSE),"BORRADO")</f>
        <v>BORRADO</v>
      </c>
      <c r="E180" s="42" t="str">
        <f>IFERROR(VLOOKUP(9523,Gastos[],5,FALSE),"BORRADO")</f>
        <v>BORRADO</v>
      </c>
      <c r="F180" s="41" t="str">
        <f>IFERROR(VLOOKUP(9523,Gastos[],6,FALSE),"BORRADO")</f>
        <v>BORRADO</v>
      </c>
      <c r="G180" s="40" t="str">
        <f>IFERROR(VLOOKUP(9523,Gastos[],7,FALSE),"BORRADO")</f>
        <v>BORRADO</v>
      </c>
      <c r="H180" s="40" t="str">
        <f>IFERROR(VLOOKUP(9523,Gastos[],8,FALSE),"BORRADO")</f>
        <v>BORRADO</v>
      </c>
      <c r="I180" s="40" t="str">
        <f>IFERROR(VLOOKUP(9523,Gastos[],9,FALSE),"BORRADO")</f>
        <v>BORRADO</v>
      </c>
    </row>
    <row r="181" spans="1:9">
      <c r="A181" s="38" t="s">
        <v>355</v>
      </c>
      <c r="B181" s="39" t="str">
        <f>IFERROR(VLOOKUP(9524,Gastos[],2,FALSE),"BORRADO")</f>
        <v>BORRADO</v>
      </c>
      <c r="C181" s="40" t="str">
        <f>IFERROR(VLOOKUP(9524,Gastos[],3,FALSE),"BORRADO")</f>
        <v>BORRADO</v>
      </c>
      <c r="D181" s="41" t="str">
        <f>IFERROR(VLOOKUP(9524,Gastos[],4,FALSE),"BORRADO")</f>
        <v>BORRADO</v>
      </c>
      <c r="E181" s="42" t="str">
        <f>IFERROR(VLOOKUP(9524,Gastos[],5,FALSE),"BORRADO")</f>
        <v>BORRADO</v>
      </c>
      <c r="F181" s="41" t="str">
        <f>IFERROR(VLOOKUP(9524,Gastos[],6,FALSE),"BORRADO")</f>
        <v>BORRADO</v>
      </c>
      <c r="G181" s="40" t="str">
        <f>IFERROR(VLOOKUP(9524,Gastos[],7,FALSE),"BORRADO")</f>
        <v>BORRADO</v>
      </c>
      <c r="H181" s="40" t="str">
        <f>IFERROR(VLOOKUP(9524,Gastos[],8,FALSE),"BORRADO")</f>
        <v>BORRADO</v>
      </c>
      <c r="I181" s="40" t="str">
        <f>IFERROR(VLOOKUP(9524,Gastos[],9,FALSE),"BORRADO")</f>
        <v>BORRADO</v>
      </c>
    </row>
    <row r="182" spans="1:9">
      <c r="A182" s="38" t="s">
        <v>355</v>
      </c>
      <c r="B182" s="39" t="str">
        <f>IFERROR(VLOOKUP(9525,Gastos[],2,FALSE),"BORRADO")</f>
        <v>BORRADO</v>
      </c>
      <c r="C182" s="40" t="str">
        <f>IFERROR(VLOOKUP(9525,Gastos[],3,FALSE),"BORRADO")</f>
        <v>BORRADO</v>
      </c>
      <c r="D182" s="41" t="str">
        <f>IFERROR(VLOOKUP(9525,Gastos[],4,FALSE),"BORRADO")</f>
        <v>BORRADO</v>
      </c>
      <c r="E182" s="42" t="str">
        <f>IFERROR(VLOOKUP(9525,Gastos[],5,FALSE),"BORRADO")</f>
        <v>BORRADO</v>
      </c>
      <c r="F182" s="41" t="str">
        <f>IFERROR(VLOOKUP(9525,Gastos[],6,FALSE),"BORRADO")</f>
        <v>BORRADO</v>
      </c>
      <c r="G182" s="40" t="str">
        <f>IFERROR(VLOOKUP(9525,Gastos[],7,FALSE),"BORRADO")</f>
        <v>BORRADO</v>
      </c>
      <c r="H182" s="40" t="str">
        <f>IFERROR(VLOOKUP(9525,Gastos[],8,FALSE),"BORRADO")</f>
        <v>BORRADO</v>
      </c>
      <c r="I182" s="40" t="str">
        <f>IFERROR(VLOOKUP(9525,Gastos[],9,FALSE),"BORRADO")</f>
        <v>BORRADO</v>
      </c>
    </row>
    <row r="183" spans="1:9">
      <c r="A183" s="38" t="s">
        <v>355</v>
      </c>
      <c r="B183" s="39" t="str">
        <f>IFERROR(VLOOKUP(9526,Gastos[],2,FALSE),"BORRADO")</f>
        <v>BORRADO</v>
      </c>
      <c r="C183" s="40" t="str">
        <f>IFERROR(VLOOKUP(9526,Gastos[],3,FALSE),"BORRADO")</f>
        <v>BORRADO</v>
      </c>
      <c r="D183" s="41" t="str">
        <f>IFERROR(VLOOKUP(9526,Gastos[],4,FALSE),"BORRADO")</f>
        <v>BORRADO</v>
      </c>
      <c r="E183" s="42" t="str">
        <f>IFERROR(VLOOKUP(9526,Gastos[],5,FALSE),"BORRADO")</f>
        <v>BORRADO</v>
      </c>
      <c r="F183" s="41" t="str">
        <f>IFERROR(VLOOKUP(9526,Gastos[],6,FALSE),"BORRADO")</f>
        <v>BORRADO</v>
      </c>
      <c r="G183" s="40" t="str">
        <f>IFERROR(VLOOKUP(9526,Gastos[],7,FALSE),"BORRADO")</f>
        <v>BORRADO</v>
      </c>
      <c r="H183" s="40" t="str">
        <f>IFERROR(VLOOKUP(9526,Gastos[],8,FALSE),"BORRADO")</f>
        <v>BORRADO</v>
      </c>
      <c r="I183" s="40" t="str">
        <f>IFERROR(VLOOKUP(9526,Gastos[],9,FALSE),"BORRADO")</f>
        <v>BORRADO</v>
      </c>
    </row>
    <row r="184" spans="1:9">
      <c r="A184" s="38" t="s">
        <v>355</v>
      </c>
      <c r="B184" s="39" t="str">
        <f>IFERROR(VLOOKUP(9527,Gastos[],2,FALSE),"BORRADO")</f>
        <v>BORRADO</v>
      </c>
      <c r="C184" s="40" t="str">
        <f>IFERROR(VLOOKUP(9527,Gastos[],3,FALSE),"BORRADO")</f>
        <v>BORRADO</v>
      </c>
      <c r="D184" s="41" t="str">
        <f>IFERROR(VLOOKUP(9527,Gastos[],4,FALSE),"BORRADO")</f>
        <v>BORRADO</v>
      </c>
      <c r="E184" s="42" t="str">
        <f>IFERROR(VLOOKUP(9527,Gastos[],5,FALSE),"BORRADO")</f>
        <v>BORRADO</v>
      </c>
      <c r="F184" s="41" t="str">
        <f>IFERROR(VLOOKUP(9527,Gastos[],6,FALSE),"BORRADO")</f>
        <v>BORRADO</v>
      </c>
      <c r="G184" s="40" t="str">
        <f>IFERROR(VLOOKUP(9527,Gastos[],7,FALSE),"BORRADO")</f>
        <v>BORRADO</v>
      </c>
      <c r="H184" s="40" t="str">
        <f>IFERROR(VLOOKUP(9527,Gastos[],8,FALSE),"BORRADO")</f>
        <v>BORRADO</v>
      </c>
      <c r="I184" s="40" t="str">
        <f>IFERROR(VLOOKUP(9527,Gastos[],9,FALSE),"BORRADO")</f>
        <v>BORRADO</v>
      </c>
    </row>
    <row r="185" spans="1:9">
      <c r="A185" s="38" t="s">
        <v>355</v>
      </c>
      <c r="B185" s="39" t="str">
        <f>IFERROR(VLOOKUP(9528,Gastos[],2,FALSE),"BORRADO")</f>
        <v>BORRADO</v>
      </c>
      <c r="C185" s="40" t="str">
        <f>IFERROR(VLOOKUP(9528,Gastos[],3,FALSE),"BORRADO")</f>
        <v>BORRADO</v>
      </c>
      <c r="D185" s="41" t="str">
        <f>IFERROR(VLOOKUP(9528,Gastos[],4,FALSE),"BORRADO")</f>
        <v>BORRADO</v>
      </c>
      <c r="E185" s="42" t="str">
        <f>IFERROR(VLOOKUP(9528,Gastos[],5,FALSE),"BORRADO")</f>
        <v>BORRADO</v>
      </c>
      <c r="F185" s="41" t="str">
        <f>IFERROR(VLOOKUP(9528,Gastos[],6,FALSE),"BORRADO")</f>
        <v>BORRADO</v>
      </c>
      <c r="G185" s="40" t="str">
        <f>IFERROR(VLOOKUP(9528,Gastos[],7,FALSE),"BORRADO")</f>
        <v>BORRADO</v>
      </c>
      <c r="H185" s="40" t="str">
        <f>IFERROR(VLOOKUP(9528,Gastos[],8,FALSE),"BORRADO")</f>
        <v>BORRADO</v>
      </c>
      <c r="I185" s="40" t="str">
        <f>IFERROR(VLOOKUP(9528,Gastos[],9,FALSE),"BORRADO")</f>
        <v>BORRADO</v>
      </c>
    </row>
    <row r="186" spans="1:9">
      <c r="A186" s="38" t="s">
        <v>355</v>
      </c>
      <c r="B186" s="39" t="str">
        <f>IFERROR(VLOOKUP(9529,Gastos[],2,FALSE),"BORRADO")</f>
        <v>BORRADO</v>
      </c>
      <c r="C186" s="40" t="str">
        <f>IFERROR(VLOOKUP(9529,Gastos[],3,FALSE),"BORRADO")</f>
        <v>BORRADO</v>
      </c>
      <c r="D186" s="41" t="str">
        <f>IFERROR(VLOOKUP(9529,Gastos[],4,FALSE),"BORRADO")</f>
        <v>BORRADO</v>
      </c>
      <c r="E186" s="42" t="str">
        <f>IFERROR(VLOOKUP(9529,Gastos[],5,FALSE),"BORRADO")</f>
        <v>BORRADO</v>
      </c>
      <c r="F186" s="41" t="str">
        <f>IFERROR(VLOOKUP(9529,Gastos[],6,FALSE),"BORRADO")</f>
        <v>BORRADO</v>
      </c>
      <c r="G186" s="40" t="str">
        <f>IFERROR(VLOOKUP(9529,Gastos[],7,FALSE),"BORRADO")</f>
        <v>BORRADO</v>
      </c>
      <c r="H186" s="40" t="str">
        <f>IFERROR(VLOOKUP(9529,Gastos[],8,FALSE),"BORRADO")</f>
        <v>BORRADO</v>
      </c>
      <c r="I186" s="40" t="str">
        <f>IFERROR(VLOOKUP(9529,Gastos[],9,FALSE),"BORRADO")</f>
        <v>BORRADO</v>
      </c>
    </row>
    <row r="187" spans="1:9">
      <c r="A187" s="38" t="s">
        <v>354</v>
      </c>
      <c r="B187" s="39">
        <f>IFERROR(VLOOKUP(3162,Depositos[],2,FALSE),"BORRADO")</f>
        <v>42983</v>
      </c>
      <c r="C187" s="40" t="str">
        <f>IFERROR(VLOOKUP(3162,Depositos[],3,FALSE),"BORRADO")</f>
        <v>RR CHEQUE</v>
      </c>
      <c r="D187" s="41">
        <f>IFERROR(VLOOKUP(3162,Depositos[],4,FALSE),"BORRADO")</f>
        <v>2538.48</v>
      </c>
      <c r="E187" s="42">
        <f>IFERROR(VLOOKUP(3162,Depositos[],5,FALSE),"BORRADO")</f>
        <v>42984</v>
      </c>
      <c r="F187" s="41">
        <f ca="1">IFERROR(VLOOKUP(3162,Depositos[],6,FALSE),"BORRADO")</f>
        <v>1014</v>
      </c>
      <c r="G187" s="40" t="str">
        <f>IFERROR(VLOOKUP(3162,Depositos[],7,FALSE),"BORRADO")</f>
        <v>INDUSTRIAL 13218003</v>
      </c>
      <c r="H187" s="40">
        <f>IFERROR(VLOOKUP(3162,Depositos[],8,FALSE),"BORRADO")</f>
        <v>0</v>
      </c>
      <c r="I187" s="40">
        <f>IFERROR(VLOOKUP(3162,Depositos[],9,FALSE),"BORRADO")</f>
        <v>0</v>
      </c>
    </row>
    <row r="188" spans="1:9">
      <c r="A188" s="38" t="s">
        <v>354</v>
      </c>
      <c r="B188" s="39">
        <f>IFERROR(VLOOKUP(3163,Depositos[],2,FALSE),"BORRADO")</f>
        <v>42983</v>
      </c>
      <c r="C188" s="40" t="str">
        <f>IFERROR(VLOOKUP(3163,Depositos[],3,FALSE),"BORRADO")</f>
        <v>RR CHEQUE</v>
      </c>
      <c r="D188" s="41">
        <f>IFERROR(VLOOKUP(3163,Depositos[],4,FALSE),"BORRADO")</f>
        <v>3389</v>
      </c>
      <c r="E188" s="42">
        <f>IFERROR(VLOOKUP(3163,Depositos[],5,FALSE),"BORRADO")</f>
        <v>42984</v>
      </c>
      <c r="F188" s="41">
        <f ca="1">IFERROR(VLOOKUP(3163,Depositos[],6,FALSE),"BORRADO")</f>
        <v>1279</v>
      </c>
      <c r="G188" s="40" t="str">
        <f>IFERROR(VLOOKUP(3163,Depositos[],7,FALSE),"BORRADO")</f>
        <v>INDUSTRIAL 13218002</v>
      </c>
      <c r="H188" s="40">
        <f>IFERROR(VLOOKUP(3163,Depositos[],8,FALSE),"BORRADO")</f>
        <v>0</v>
      </c>
      <c r="I188" s="40">
        <f>IFERROR(VLOOKUP(3163,Depositos[],9,FALSE),"BORRADO")</f>
        <v>0</v>
      </c>
    </row>
    <row r="189" spans="1:9">
      <c r="A189" s="38" t="s">
        <v>354</v>
      </c>
      <c r="B189" s="39">
        <f>IFERROR(VLOOKUP(3164,Depositos[],2,FALSE),"BORRADO")</f>
        <v>42984</v>
      </c>
      <c r="C189" s="40" t="str">
        <f>IFERROR(VLOOKUP(3164,Depositos[],3,FALSE),"BORRADO")</f>
        <v>EFECTIVO</v>
      </c>
      <c r="D189" s="41">
        <f>IFERROR(VLOOKUP(3164,Depositos[],4,FALSE),"BORRADO")</f>
        <v>108000</v>
      </c>
      <c r="E189" s="42">
        <f>IFERROR(VLOOKUP(3164,Depositos[],5,FALSE),"BORRADO")</f>
        <v>42984</v>
      </c>
      <c r="F189" s="41">
        <f ca="1">IFERROR(VLOOKUP(3164,Depositos[],6,FALSE),"BORRADO")</f>
        <v>101173</v>
      </c>
      <c r="G189" s="40" t="str">
        <f>IFERROR(VLOOKUP(3164,Depositos[],7,FALSE),"BORRADO")</f>
        <v>EFECTIVO RR</v>
      </c>
      <c r="H189" s="40">
        <f>IFERROR(VLOOKUP(3164,Depositos[],8,FALSE),"BORRADO")</f>
        <v>0</v>
      </c>
      <c r="I189" s="40">
        <f>IFERROR(VLOOKUP(3164,Depositos[],9,FALSE),"BORRADO")</f>
        <v>0</v>
      </c>
    </row>
    <row r="190" spans="1:9">
      <c r="A190" s="38" t="s">
        <v>355</v>
      </c>
      <c r="B190" s="39" t="str">
        <f>IFERROR(VLOOKUP(9530,Gastos[],2,FALSE),"BORRADO")</f>
        <v>BORRADO</v>
      </c>
      <c r="C190" s="40" t="str">
        <f>IFERROR(VLOOKUP(9530,Gastos[],3,FALSE),"BORRADO")</f>
        <v>BORRADO</v>
      </c>
      <c r="D190" s="41" t="str">
        <f>IFERROR(VLOOKUP(9530,Gastos[],4,FALSE),"BORRADO")</f>
        <v>BORRADO</v>
      </c>
      <c r="E190" s="42" t="str">
        <f>IFERROR(VLOOKUP(9530,Gastos[],5,FALSE),"BORRADO")</f>
        <v>BORRADO</v>
      </c>
      <c r="F190" s="41" t="str">
        <f>IFERROR(VLOOKUP(9530,Gastos[],6,FALSE),"BORRADO")</f>
        <v>BORRADO</v>
      </c>
      <c r="G190" s="40" t="str">
        <f>IFERROR(VLOOKUP(9530,Gastos[],7,FALSE),"BORRADO")</f>
        <v>BORRADO</v>
      </c>
      <c r="H190" s="40" t="str">
        <f>IFERROR(VLOOKUP(9530,Gastos[],8,FALSE),"BORRADO")</f>
        <v>BORRADO</v>
      </c>
      <c r="I190" s="40" t="str">
        <f>IFERROR(VLOOKUP(9530,Gastos[],9,FALSE),"BORRADO")</f>
        <v>BORRADO</v>
      </c>
    </row>
    <row r="191" spans="1:9">
      <c r="A191" s="38" t="s">
        <v>355</v>
      </c>
      <c r="B191" s="39" t="str">
        <f>IFERROR(VLOOKUP(9531,Gastos[],2,FALSE),"BORRADO")</f>
        <v>BORRADO</v>
      </c>
      <c r="C191" s="40" t="str">
        <f>IFERROR(VLOOKUP(9531,Gastos[],3,FALSE),"BORRADO")</f>
        <v>BORRADO</v>
      </c>
      <c r="D191" s="41" t="str">
        <f>IFERROR(VLOOKUP(9531,Gastos[],4,FALSE),"BORRADO")</f>
        <v>BORRADO</v>
      </c>
      <c r="E191" s="42" t="str">
        <f>IFERROR(VLOOKUP(9531,Gastos[],5,FALSE),"BORRADO")</f>
        <v>BORRADO</v>
      </c>
      <c r="F191" s="41" t="str">
        <f>IFERROR(VLOOKUP(9531,Gastos[],6,FALSE),"BORRADO")</f>
        <v>BORRADO</v>
      </c>
      <c r="G191" s="40" t="str">
        <f>IFERROR(VLOOKUP(9531,Gastos[],7,FALSE),"BORRADO")</f>
        <v>BORRADO</v>
      </c>
      <c r="H191" s="40" t="str">
        <f>IFERROR(VLOOKUP(9531,Gastos[],8,FALSE),"BORRADO")</f>
        <v>BORRADO</v>
      </c>
      <c r="I191" s="40" t="str">
        <f>IFERROR(VLOOKUP(9531,Gastos[],9,FALSE),"BORRADO")</f>
        <v>BORRADO</v>
      </c>
    </row>
    <row r="192" spans="1:9">
      <c r="A192" s="38" t="s">
        <v>355</v>
      </c>
      <c r="B192" s="39" t="str">
        <f>IFERROR(VLOOKUP(9532,Gastos[],2,FALSE),"BORRADO")</f>
        <v>BORRADO</v>
      </c>
      <c r="C192" s="40" t="str">
        <f>IFERROR(VLOOKUP(9532,Gastos[],3,FALSE),"BORRADO")</f>
        <v>BORRADO</v>
      </c>
      <c r="D192" s="41" t="str">
        <f>IFERROR(VLOOKUP(9532,Gastos[],4,FALSE),"BORRADO")</f>
        <v>BORRADO</v>
      </c>
      <c r="E192" s="42" t="str">
        <f>IFERROR(VLOOKUP(9532,Gastos[],5,FALSE),"BORRADO")</f>
        <v>BORRADO</v>
      </c>
      <c r="F192" s="41" t="str">
        <f>IFERROR(VLOOKUP(9532,Gastos[],6,FALSE),"BORRADO")</f>
        <v>BORRADO</v>
      </c>
      <c r="G192" s="40" t="str">
        <f>IFERROR(VLOOKUP(9532,Gastos[],7,FALSE),"BORRADO")</f>
        <v>BORRADO</v>
      </c>
      <c r="H192" s="40" t="str">
        <f>IFERROR(VLOOKUP(9532,Gastos[],8,FALSE),"BORRADO")</f>
        <v>BORRADO</v>
      </c>
      <c r="I192" s="40" t="str">
        <f>IFERROR(VLOOKUP(9532,Gastos[],9,FALSE),"BORRADO")</f>
        <v>BORRADO</v>
      </c>
    </row>
    <row r="193" spans="1:9">
      <c r="A193" s="38" t="s">
        <v>355</v>
      </c>
      <c r="B193" s="39" t="str">
        <f>IFERROR(VLOOKUP(9533,Gastos[],2,FALSE),"BORRADO")</f>
        <v>BORRADO</v>
      </c>
      <c r="C193" s="40" t="str">
        <f>IFERROR(VLOOKUP(9533,Gastos[],3,FALSE),"BORRADO")</f>
        <v>BORRADO</v>
      </c>
      <c r="D193" s="41" t="str">
        <f>IFERROR(VLOOKUP(9533,Gastos[],4,FALSE),"BORRADO")</f>
        <v>BORRADO</v>
      </c>
      <c r="E193" s="42" t="str">
        <f>IFERROR(VLOOKUP(9533,Gastos[],5,FALSE),"BORRADO")</f>
        <v>BORRADO</v>
      </c>
      <c r="F193" s="41" t="str">
        <f>IFERROR(VLOOKUP(9533,Gastos[],6,FALSE),"BORRADO")</f>
        <v>BORRADO</v>
      </c>
      <c r="G193" s="40" t="str">
        <f>IFERROR(VLOOKUP(9533,Gastos[],7,FALSE),"BORRADO")</f>
        <v>BORRADO</v>
      </c>
      <c r="H193" s="40" t="str">
        <f>IFERROR(VLOOKUP(9533,Gastos[],8,FALSE),"BORRADO")</f>
        <v>BORRADO</v>
      </c>
      <c r="I193" s="40" t="str">
        <f>IFERROR(VLOOKUP(9533,Gastos[],9,FALSE),"BORRADO")</f>
        <v>BORRADO</v>
      </c>
    </row>
    <row r="194" spans="1:9">
      <c r="A194" s="38" t="s">
        <v>355</v>
      </c>
      <c r="B194" s="39" t="str">
        <f>IFERROR(VLOOKUP(9534,Gastos[],2,FALSE),"BORRADO")</f>
        <v>BORRADO</v>
      </c>
      <c r="C194" s="40" t="str">
        <f>IFERROR(VLOOKUP(9534,Gastos[],3,FALSE),"BORRADO")</f>
        <v>BORRADO</v>
      </c>
      <c r="D194" s="41" t="str">
        <f>IFERROR(VLOOKUP(9534,Gastos[],4,FALSE),"BORRADO")</f>
        <v>BORRADO</v>
      </c>
      <c r="E194" s="42" t="str">
        <f>IFERROR(VLOOKUP(9534,Gastos[],5,FALSE),"BORRADO")</f>
        <v>BORRADO</v>
      </c>
      <c r="F194" s="41" t="str">
        <f>IFERROR(VLOOKUP(9534,Gastos[],6,FALSE),"BORRADO")</f>
        <v>BORRADO</v>
      </c>
      <c r="G194" s="40" t="str">
        <f>IFERROR(VLOOKUP(9534,Gastos[],7,FALSE),"BORRADO")</f>
        <v>BORRADO</v>
      </c>
      <c r="H194" s="40" t="str">
        <f>IFERROR(VLOOKUP(9534,Gastos[],8,FALSE),"BORRADO")</f>
        <v>BORRADO</v>
      </c>
      <c r="I194" s="40" t="str">
        <f>IFERROR(VLOOKUP(9534,Gastos[],9,FALSE),"BORRADO")</f>
        <v>BORRADO</v>
      </c>
    </row>
    <row r="195" spans="1:9">
      <c r="A195" s="38" t="s">
        <v>355</v>
      </c>
      <c r="B195" s="39" t="str">
        <f>IFERROR(VLOOKUP(9535,Gastos[],2,FALSE),"BORRADO")</f>
        <v>BORRADO</v>
      </c>
      <c r="C195" s="40" t="str">
        <f>IFERROR(VLOOKUP(9535,Gastos[],3,FALSE),"BORRADO")</f>
        <v>BORRADO</v>
      </c>
      <c r="D195" s="41" t="str">
        <f>IFERROR(VLOOKUP(9535,Gastos[],4,FALSE),"BORRADO")</f>
        <v>BORRADO</v>
      </c>
      <c r="E195" s="42" t="str">
        <f>IFERROR(VLOOKUP(9535,Gastos[],5,FALSE),"BORRADO")</f>
        <v>BORRADO</v>
      </c>
      <c r="F195" s="41" t="str">
        <f>IFERROR(VLOOKUP(9535,Gastos[],6,FALSE),"BORRADO")</f>
        <v>BORRADO</v>
      </c>
      <c r="G195" s="40" t="str">
        <f>IFERROR(VLOOKUP(9535,Gastos[],7,FALSE),"BORRADO")</f>
        <v>BORRADO</v>
      </c>
      <c r="H195" s="40" t="str">
        <f>IFERROR(VLOOKUP(9535,Gastos[],8,FALSE),"BORRADO")</f>
        <v>BORRADO</v>
      </c>
      <c r="I195" s="40" t="str">
        <f>IFERROR(VLOOKUP(9535,Gastos[],9,FALSE),"BORRADO")</f>
        <v>BORRADO</v>
      </c>
    </row>
    <row r="196" spans="1:9">
      <c r="A196" s="38" t="s">
        <v>355</v>
      </c>
      <c r="B196" s="39" t="str">
        <f>IFERROR(VLOOKUP(9536,Gastos[],2,FALSE),"BORRADO")</f>
        <v>BORRADO</v>
      </c>
      <c r="C196" s="40" t="str">
        <f>IFERROR(VLOOKUP(9536,Gastos[],3,FALSE),"BORRADO")</f>
        <v>BORRADO</v>
      </c>
      <c r="D196" s="41" t="str">
        <f>IFERROR(VLOOKUP(9536,Gastos[],4,FALSE),"BORRADO")</f>
        <v>BORRADO</v>
      </c>
      <c r="E196" s="42" t="str">
        <f>IFERROR(VLOOKUP(9536,Gastos[],5,FALSE),"BORRADO")</f>
        <v>BORRADO</v>
      </c>
      <c r="F196" s="41" t="str">
        <f>IFERROR(VLOOKUP(9536,Gastos[],6,FALSE),"BORRADO")</f>
        <v>BORRADO</v>
      </c>
      <c r="G196" s="40" t="str">
        <f>IFERROR(VLOOKUP(9536,Gastos[],7,FALSE),"BORRADO")</f>
        <v>BORRADO</v>
      </c>
      <c r="H196" s="40" t="str">
        <f>IFERROR(VLOOKUP(9536,Gastos[],8,FALSE),"BORRADO")</f>
        <v>BORRADO</v>
      </c>
      <c r="I196" s="40" t="str">
        <f>IFERROR(VLOOKUP(9536,Gastos[],9,FALSE),"BORRADO")</f>
        <v>BORRADO</v>
      </c>
    </row>
    <row r="197" spans="1:9">
      <c r="A197" s="38" t="s">
        <v>355</v>
      </c>
      <c r="B197" s="39" t="str">
        <f>IFERROR(VLOOKUP(9537,Gastos[],2,FALSE),"BORRADO")</f>
        <v>BORRADO</v>
      </c>
      <c r="C197" s="40" t="str">
        <f>IFERROR(VLOOKUP(9537,Gastos[],3,FALSE),"BORRADO")</f>
        <v>BORRADO</v>
      </c>
      <c r="D197" s="41" t="str">
        <f>IFERROR(VLOOKUP(9537,Gastos[],4,FALSE),"BORRADO")</f>
        <v>BORRADO</v>
      </c>
      <c r="E197" s="42" t="str">
        <f>IFERROR(VLOOKUP(9537,Gastos[],5,FALSE),"BORRADO")</f>
        <v>BORRADO</v>
      </c>
      <c r="F197" s="41" t="str">
        <f>IFERROR(VLOOKUP(9537,Gastos[],6,FALSE),"BORRADO")</f>
        <v>BORRADO</v>
      </c>
      <c r="G197" s="40" t="str">
        <f>IFERROR(VLOOKUP(9537,Gastos[],7,FALSE),"BORRADO")</f>
        <v>BORRADO</v>
      </c>
      <c r="H197" s="40" t="str">
        <f>IFERROR(VLOOKUP(9537,Gastos[],8,FALSE),"BORRADO")</f>
        <v>BORRADO</v>
      </c>
      <c r="I197" s="40" t="str">
        <f>IFERROR(VLOOKUP(9537,Gastos[],9,FALSE),"BORRADO")</f>
        <v>BORRADO</v>
      </c>
    </row>
    <row r="198" spans="1:9">
      <c r="A198" s="38" t="s">
        <v>355</v>
      </c>
      <c r="B198" s="39" t="str">
        <f>IFERROR(VLOOKUP(9538,Gastos[],2,FALSE),"BORRADO")</f>
        <v>BORRADO</v>
      </c>
      <c r="C198" s="40" t="str">
        <f>IFERROR(VLOOKUP(9538,Gastos[],3,FALSE),"BORRADO")</f>
        <v>BORRADO</v>
      </c>
      <c r="D198" s="41" t="str">
        <f>IFERROR(VLOOKUP(9538,Gastos[],4,FALSE),"BORRADO")</f>
        <v>BORRADO</v>
      </c>
      <c r="E198" s="42" t="str">
        <f>IFERROR(VLOOKUP(9538,Gastos[],5,FALSE),"BORRADO")</f>
        <v>BORRADO</v>
      </c>
      <c r="F198" s="41" t="str">
        <f>IFERROR(VLOOKUP(9538,Gastos[],6,FALSE),"BORRADO")</f>
        <v>BORRADO</v>
      </c>
      <c r="G198" s="40" t="str">
        <f>IFERROR(VLOOKUP(9538,Gastos[],7,FALSE),"BORRADO")</f>
        <v>BORRADO</v>
      </c>
      <c r="H198" s="40" t="str">
        <f>IFERROR(VLOOKUP(9538,Gastos[],8,FALSE),"BORRADO")</f>
        <v>BORRADO</v>
      </c>
      <c r="I198" s="40" t="str">
        <f>IFERROR(VLOOKUP(9538,Gastos[],9,FALSE),"BORRADO")</f>
        <v>BORRADO</v>
      </c>
    </row>
    <row r="199" spans="1:9">
      <c r="A199" s="38" t="s">
        <v>355</v>
      </c>
      <c r="B199" s="39" t="str">
        <f>IFERROR(VLOOKUP(9539,Gastos[],2,FALSE),"BORRADO")</f>
        <v>BORRADO</v>
      </c>
      <c r="C199" s="40" t="str">
        <f>IFERROR(VLOOKUP(9539,Gastos[],3,FALSE),"BORRADO")</f>
        <v>BORRADO</v>
      </c>
      <c r="D199" s="41" t="str">
        <f>IFERROR(VLOOKUP(9539,Gastos[],4,FALSE),"BORRADO")</f>
        <v>BORRADO</v>
      </c>
      <c r="E199" s="42" t="str">
        <f>IFERROR(VLOOKUP(9539,Gastos[],5,FALSE),"BORRADO")</f>
        <v>BORRADO</v>
      </c>
      <c r="F199" s="41" t="str">
        <f>IFERROR(VLOOKUP(9539,Gastos[],6,FALSE),"BORRADO")</f>
        <v>BORRADO</v>
      </c>
      <c r="G199" s="40" t="str">
        <f>IFERROR(VLOOKUP(9539,Gastos[],7,FALSE),"BORRADO")</f>
        <v>BORRADO</v>
      </c>
      <c r="H199" s="40" t="str">
        <f>IFERROR(VLOOKUP(9539,Gastos[],8,FALSE),"BORRADO")</f>
        <v>BORRADO</v>
      </c>
      <c r="I199" s="40" t="str">
        <f>IFERROR(VLOOKUP(9539,Gastos[],9,FALSE),"BORRADO")</f>
        <v>BORRADO</v>
      </c>
    </row>
    <row r="200" spans="1:9">
      <c r="A200" s="38" t="s">
        <v>355</v>
      </c>
      <c r="B200" s="39" t="str">
        <f>IFERROR(VLOOKUP(9540,Gastos[],2,FALSE),"BORRADO")</f>
        <v>BORRADO</v>
      </c>
      <c r="C200" s="40" t="str">
        <f>IFERROR(VLOOKUP(9540,Gastos[],3,FALSE),"BORRADO")</f>
        <v>BORRADO</v>
      </c>
      <c r="D200" s="41" t="str">
        <f>IFERROR(VLOOKUP(9540,Gastos[],4,FALSE),"BORRADO")</f>
        <v>BORRADO</v>
      </c>
      <c r="E200" s="42" t="str">
        <f>IFERROR(VLOOKUP(9540,Gastos[],5,FALSE),"BORRADO")</f>
        <v>BORRADO</v>
      </c>
      <c r="F200" s="41" t="str">
        <f>IFERROR(VLOOKUP(9540,Gastos[],6,FALSE),"BORRADO")</f>
        <v>BORRADO</v>
      </c>
      <c r="G200" s="40" t="str">
        <f>IFERROR(VLOOKUP(9540,Gastos[],7,FALSE),"BORRADO")</f>
        <v>BORRADO</v>
      </c>
      <c r="H200" s="40" t="str">
        <f>IFERROR(VLOOKUP(9540,Gastos[],8,FALSE),"BORRADO")</f>
        <v>BORRADO</v>
      </c>
      <c r="I200" s="40" t="str">
        <f>IFERROR(VLOOKUP(9540,Gastos[],9,FALSE),"BORRADO")</f>
        <v>BORRADO</v>
      </c>
    </row>
    <row r="201" spans="1:9">
      <c r="A201" s="38" t="s">
        <v>355</v>
      </c>
      <c r="B201" s="39" t="str">
        <f>IFERROR(VLOOKUP(9541,Gastos[],2,FALSE),"BORRADO")</f>
        <v>BORRADO</v>
      </c>
      <c r="C201" s="40" t="str">
        <f>IFERROR(VLOOKUP(9541,Gastos[],3,FALSE),"BORRADO")</f>
        <v>BORRADO</v>
      </c>
      <c r="D201" s="41" t="str">
        <f>IFERROR(VLOOKUP(9541,Gastos[],4,FALSE),"BORRADO")</f>
        <v>BORRADO</v>
      </c>
      <c r="E201" s="42" t="str">
        <f>IFERROR(VLOOKUP(9541,Gastos[],5,FALSE),"BORRADO")</f>
        <v>BORRADO</v>
      </c>
      <c r="F201" s="41" t="str">
        <f>IFERROR(VLOOKUP(9541,Gastos[],6,FALSE),"BORRADO")</f>
        <v>BORRADO</v>
      </c>
      <c r="G201" s="40" t="str">
        <f>IFERROR(VLOOKUP(9541,Gastos[],7,FALSE),"BORRADO")</f>
        <v>BORRADO</v>
      </c>
      <c r="H201" s="40" t="str">
        <f>IFERROR(VLOOKUP(9541,Gastos[],8,FALSE),"BORRADO")</f>
        <v>BORRADO</v>
      </c>
      <c r="I201" s="40" t="str">
        <f>IFERROR(VLOOKUP(9541,Gastos[],9,FALSE),"BORRADO")</f>
        <v>BORRADO</v>
      </c>
    </row>
    <row r="202" spans="1:9">
      <c r="A202" s="38" t="s">
        <v>354</v>
      </c>
      <c r="B202" s="39">
        <f>IFERROR(VLOOKUP(3166,Depositos[],2,FALSE),"BORRADO")</f>
        <v>42984</v>
      </c>
      <c r="C202" s="40" t="str">
        <f>IFERROR(VLOOKUP(3166,Depositos[],3,FALSE),"BORRADO")</f>
        <v>RR CHEQUE</v>
      </c>
      <c r="D202" s="41">
        <f>IFERROR(VLOOKUP(3166,Depositos[],4,FALSE),"BORRADO")</f>
        <v>42000</v>
      </c>
      <c r="E202" s="42">
        <f>IFERROR(VLOOKUP(3166,Depositos[],5,FALSE),"BORRADO")</f>
        <v>42985</v>
      </c>
      <c r="F202" s="41">
        <f ca="1">IFERROR(VLOOKUP(3166,Depositos[],6,FALSE),"BORRADO")</f>
        <v>30393</v>
      </c>
      <c r="G202" s="40" t="str">
        <f>IFERROR(VLOOKUP(3166,Depositos[],7,FALSE),"BORRADO")</f>
        <v>MACRO 72144812 BLOQ.DIP/RR</v>
      </c>
      <c r="H202" s="40">
        <f>IFERROR(VLOOKUP(3166,Depositos[],8,FALSE),"BORRADO")</f>
        <v>0</v>
      </c>
      <c r="I202" s="40">
        <f>IFERROR(VLOOKUP(3166,Depositos[],9,FALSE),"BORRADO")</f>
        <v>0</v>
      </c>
    </row>
    <row r="203" spans="1:9">
      <c r="A203" s="38" t="s">
        <v>354</v>
      </c>
      <c r="B203" s="39">
        <f>IFERROR(VLOOKUP(3167,Depositos[],2,FALSE),"BORRADO")</f>
        <v>42984</v>
      </c>
      <c r="C203" s="40" t="str">
        <f>IFERROR(VLOOKUP(3167,Depositos[],3,FALSE),"BORRADO")</f>
        <v>RR CHEQUE</v>
      </c>
      <c r="D203" s="41">
        <f>IFERROR(VLOOKUP(3167,Depositos[],4,FALSE),"BORRADO")</f>
        <v>13000</v>
      </c>
      <c r="E203" s="42">
        <f>IFERROR(VLOOKUP(3167,Depositos[],5,FALSE),"BORRADO")</f>
        <v>42985</v>
      </c>
      <c r="F203" s="41">
        <f ca="1">IFERROR(VLOOKUP(3167,Depositos[],6,FALSE),"BORRADO")</f>
        <v>4214</v>
      </c>
      <c r="G203" s="40" t="str">
        <f>IFERROR(VLOOKUP(3167,Depositos[],7,FALSE),"BORRADO")</f>
        <v>MACRO 72144813 BLOQ.DIP/RR</v>
      </c>
      <c r="H203" s="40">
        <f>IFERROR(VLOOKUP(3167,Depositos[],8,FALSE),"BORRADO")</f>
        <v>0</v>
      </c>
      <c r="I203" s="40">
        <f>IFERROR(VLOOKUP(3167,Depositos[],9,FALSE),"BORRADO")</f>
        <v>0</v>
      </c>
    </row>
    <row r="204" spans="1:9">
      <c r="A204" s="38" t="s">
        <v>353</v>
      </c>
      <c r="B204" s="39" t="str">
        <f>IFERROR(VLOOKUP(1742,Chequeras[],2,FALSE),"BORRADO")</f>
        <v>BORRADO</v>
      </c>
      <c r="C204" s="40" t="str">
        <f>IFERROR(VLOOKUP(1742,Chequeras[],3,FALSE),"BORRADO")</f>
        <v>BORRADO</v>
      </c>
      <c r="D204" s="41" t="str">
        <f>IFERROR(VLOOKUP(1742,Chequeras[],4,FALSE),"BORRADO")</f>
        <v>BORRADO</v>
      </c>
      <c r="E204" s="42" t="str">
        <f>IFERROR(VLOOKUP(1742,Chequeras[],5,FALSE),"BORRADO")</f>
        <v>BORRADO</v>
      </c>
      <c r="F204" s="41" t="str">
        <f>IFERROR(VLOOKUP(1742,Chequeras[],6,FALSE),"BORRADO")</f>
        <v>BORRADO</v>
      </c>
      <c r="G204" s="40" t="str">
        <f>IFERROR(VLOOKUP(1742,Chequeras[],7,FALSE),"BORRADO")</f>
        <v>BORRADO</v>
      </c>
      <c r="H204" s="40" t="str">
        <f>IFERROR(VLOOKUP(1742,Chequeras[],8,FALSE),"BORRADO")</f>
        <v>BORRADO</v>
      </c>
      <c r="I204" s="40" t="str">
        <f>IFERROR(VLOOKUP(1742,Chequeras[],9,FALSE),"BORRADO")</f>
        <v>BORRADO</v>
      </c>
    </row>
    <row r="205" spans="1:9">
      <c r="A205" s="38" t="s">
        <v>354</v>
      </c>
      <c r="B205" s="39">
        <f>IFERROR(VLOOKUP(3165,Depositos[],2,FALSE),"BORRADO")</f>
        <v>42985</v>
      </c>
      <c r="C205" s="40" t="str">
        <f>IFERROR(VLOOKUP(3165,Depositos[],3,FALSE),"BORRADO")</f>
        <v>EFECTIVO</v>
      </c>
      <c r="D205" s="41">
        <f>IFERROR(VLOOKUP(3165,Depositos[],4,FALSE),"BORRADO")</f>
        <v>100000</v>
      </c>
      <c r="E205" s="42">
        <f>IFERROR(VLOOKUP(3165,Depositos[],5,FALSE),"BORRADO")</f>
        <v>42985</v>
      </c>
      <c r="F205" s="41">
        <f ca="1">IFERROR(VLOOKUP(3165,Depositos[],6,FALSE),"BORRADO")</f>
        <v>68441</v>
      </c>
      <c r="G205" s="40">
        <f>IFERROR(VLOOKUP(3165,Depositos[],7,FALSE),"BORRADO")</f>
        <v>0</v>
      </c>
      <c r="H205" s="40">
        <f>IFERROR(VLOOKUP(3165,Depositos[],8,FALSE),"BORRADO")</f>
        <v>0</v>
      </c>
      <c r="I205" s="40">
        <f>IFERROR(VLOOKUP(3165,Depositos[],9,FALSE),"BORRADO")</f>
        <v>0</v>
      </c>
    </row>
    <row r="206" spans="1:9">
      <c r="A206" s="38" t="s">
        <v>355</v>
      </c>
      <c r="B206" s="39" t="str">
        <f>IFERROR(VLOOKUP(9542,Gastos[],2,FALSE),"BORRADO")</f>
        <v>BORRADO</v>
      </c>
      <c r="C206" s="40" t="str">
        <f>IFERROR(VLOOKUP(9542,Gastos[],3,FALSE),"BORRADO")</f>
        <v>BORRADO</v>
      </c>
      <c r="D206" s="41" t="str">
        <f>IFERROR(VLOOKUP(9542,Gastos[],4,FALSE),"BORRADO")</f>
        <v>BORRADO</v>
      </c>
      <c r="E206" s="42" t="str">
        <f>IFERROR(VLOOKUP(9542,Gastos[],5,FALSE),"BORRADO")</f>
        <v>BORRADO</v>
      </c>
      <c r="F206" s="41" t="str">
        <f>IFERROR(VLOOKUP(9542,Gastos[],6,FALSE),"BORRADO")</f>
        <v>BORRADO</v>
      </c>
      <c r="G206" s="40" t="str">
        <f>IFERROR(VLOOKUP(9542,Gastos[],7,FALSE),"BORRADO")</f>
        <v>BORRADO</v>
      </c>
      <c r="H206" s="40" t="str">
        <f>IFERROR(VLOOKUP(9542,Gastos[],8,FALSE),"BORRADO")</f>
        <v>BORRADO</v>
      </c>
      <c r="I206" s="40" t="str">
        <f>IFERROR(VLOOKUP(9542,Gastos[],9,FALSE),"BORRADO")</f>
        <v>BORRADO</v>
      </c>
    </row>
    <row r="207" spans="1:9">
      <c r="A207" s="38" t="s">
        <v>355</v>
      </c>
      <c r="B207" s="39" t="str">
        <f>IFERROR(VLOOKUP(9543,Gastos[],2,FALSE),"BORRADO")</f>
        <v>BORRADO</v>
      </c>
      <c r="C207" s="40" t="str">
        <f>IFERROR(VLOOKUP(9543,Gastos[],3,FALSE),"BORRADO")</f>
        <v>BORRADO</v>
      </c>
      <c r="D207" s="41" t="str">
        <f>IFERROR(VLOOKUP(9543,Gastos[],4,FALSE),"BORRADO")</f>
        <v>BORRADO</v>
      </c>
      <c r="E207" s="42" t="str">
        <f>IFERROR(VLOOKUP(9543,Gastos[],5,FALSE),"BORRADO")</f>
        <v>BORRADO</v>
      </c>
      <c r="F207" s="41" t="str">
        <f>IFERROR(VLOOKUP(9543,Gastos[],6,FALSE),"BORRADO")</f>
        <v>BORRADO</v>
      </c>
      <c r="G207" s="40" t="str">
        <f>IFERROR(VLOOKUP(9543,Gastos[],7,FALSE),"BORRADO")</f>
        <v>BORRADO</v>
      </c>
      <c r="H207" s="40" t="str">
        <f>IFERROR(VLOOKUP(9543,Gastos[],8,FALSE),"BORRADO")</f>
        <v>BORRADO</v>
      </c>
      <c r="I207" s="40" t="str">
        <f>IFERROR(VLOOKUP(9543,Gastos[],9,FALSE),"BORRADO")</f>
        <v>BORRADO</v>
      </c>
    </row>
    <row r="208" spans="1:9">
      <c r="A208" s="38" t="s">
        <v>355</v>
      </c>
      <c r="B208" s="39" t="str">
        <f>IFERROR(VLOOKUP(9544,Gastos[],2,FALSE),"BORRADO")</f>
        <v>BORRADO</v>
      </c>
      <c r="C208" s="40" t="str">
        <f>IFERROR(VLOOKUP(9544,Gastos[],3,FALSE),"BORRADO")</f>
        <v>BORRADO</v>
      </c>
      <c r="D208" s="41" t="str">
        <f>IFERROR(VLOOKUP(9544,Gastos[],4,FALSE),"BORRADO")</f>
        <v>BORRADO</v>
      </c>
      <c r="E208" s="42" t="str">
        <f>IFERROR(VLOOKUP(9544,Gastos[],5,FALSE),"BORRADO")</f>
        <v>BORRADO</v>
      </c>
      <c r="F208" s="41" t="str">
        <f>IFERROR(VLOOKUP(9544,Gastos[],6,FALSE),"BORRADO")</f>
        <v>BORRADO</v>
      </c>
      <c r="G208" s="40" t="str">
        <f>IFERROR(VLOOKUP(9544,Gastos[],7,FALSE),"BORRADO")</f>
        <v>BORRADO</v>
      </c>
      <c r="H208" s="40" t="str">
        <f>IFERROR(VLOOKUP(9544,Gastos[],8,FALSE),"BORRADO")</f>
        <v>BORRADO</v>
      </c>
      <c r="I208" s="40" t="str">
        <f>IFERROR(VLOOKUP(9544,Gastos[],9,FALSE),"BORRADO")</f>
        <v>BORRADO</v>
      </c>
    </row>
    <row r="209" spans="1:9">
      <c r="A209" s="38" t="s">
        <v>355</v>
      </c>
      <c r="B209" s="39" t="str">
        <f>IFERROR(VLOOKUP(9545,Gastos[],2,FALSE),"BORRADO")</f>
        <v>BORRADO</v>
      </c>
      <c r="C209" s="40" t="str">
        <f>IFERROR(VLOOKUP(9545,Gastos[],3,FALSE),"BORRADO")</f>
        <v>BORRADO</v>
      </c>
      <c r="D209" s="41" t="str">
        <f>IFERROR(VLOOKUP(9545,Gastos[],4,FALSE),"BORRADO")</f>
        <v>BORRADO</v>
      </c>
      <c r="E209" s="42" t="str">
        <f>IFERROR(VLOOKUP(9545,Gastos[],5,FALSE),"BORRADO")</f>
        <v>BORRADO</v>
      </c>
      <c r="F209" s="41" t="str">
        <f>IFERROR(VLOOKUP(9545,Gastos[],6,FALSE),"BORRADO")</f>
        <v>BORRADO</v>
      </c>
      <c r="G209" s="40" t="str">
        <f>IFERROR(VLOOKUP(9545,Gastos[],7,FALSE),"BORRADO")</f>
        <v>BORRADO</v>
      </c>
      <c r="H209" s="40" t="str">
        <f>IFERROR(VLOOKUP(9545,Gastos[],8,FALSE),"BORRADO")</f>
        <v>BORRADO</v>
      </c>
      <c r="I209" s="40" t="str">
        <f>IFERROR(VLOOKUP(9545,Gastos[],9,FALSE),"BORRADO")</f>
        <v>BORRADO</v>
      </c>
    </row>
    <row r="210" spans="1:9">
      <c r="A210" s="38" t="s">
        <v>355</v>
      </c>
      <c r="B210" s="39" t="str">
        <f>IFERROR(VLOOKUP(9546,Gastos[],2,FALSE),"BORRADO")</f>
        <v>BORRADO</v>
      </c>
      <c r="C210" s="40" t="str">
        <f>IFERROR(VLOOKUP(9546,Gastos[],3,FALSE),"BORRADO")</f>
        <v>BORRADO</v>
      </c>
      <c r="D210" s="41" t="str">
        <f>IFERROR(VLOOKUP(9546,Gastos[],4,FALSE),"BORRADO")</f>
        <v>BORRADO</v>
      </c>
      <c r="E210" s="42" t="str">
        <f>IFERROR(VLOOKUP(9546,Gastos[],5,FALSE),"BORRADO")</f>
        <v>BORRADO</v>
      </c>
      <c r="F210" s="41" t="str">
        <f>IFERROR(VLOOKUP(9546,Gastos[],6,FALSE),"BORRADO")</f>
        <v>BORRADO</v>
      </c>
      <c r="G210" s="40" t="str">
        <f>IFERROR(VLOOKUP(9546,Gastos[],7,FALSE),"BORRADO")</f>
        <v>BORRADO</v>
      </c>
      <c r="H210" s="40" t="str">
        <f>IFERROR(VLOOKUP(9546,Gastos[],8,FALSE),"BORRADO")</f>
        <v>BORRADO</v>
      </c>
      <c r="I210" s="40" t="str">
        <f>IFERROR(VLOOKUP(9546,Gastos[],9,FALSE),"BORRADO")</f>
        <v>BORRADO</v>
      </c>
    </row>
    <row r="211" spans="1:9">
      <c r="A211" s="38" t="s">
        <v>355</v>
      </c>
      <c r="B211" s="39" t="str">
        <f>IFERROR(VLOOKUP(9547,Gastos[],2,FALSE),"BORRADO")</f>
        <v>BORRADO</v>
      </c>
      <c r="C211" s="40" t="str">
        <f>IFERROR(VLOOKUP(9547,Gastos[],3,FALSE),"BORRADO")</f>
        <v>BORRADO</v>
      </c>
      <c r="D211" s="41" t="str">
        <f>IFERROR(VLOOKUP(9547,Gastos[],4,FALSE),"BORRADO")</f>
        <v>BORRADO</v>
      </c>
      <c r="E211" s="42" t="str">
        <f>IFERROR(VLOOKUP(9547,Gastos[],5,FALSE),"BORRADO")</f>
        <v>BORRADO</v>
      </c>
      <c r="F211" s="41" t="str">
        <f>IFERROR(VLOOKUP(9547,Gastos[],6,FALSE),"BORRADO")</f>
        <v>BORRADO</v>
      </c>
      <c r="G211" s="40" t="str">
        <f>IFERROR(VLOOKUP(9547,Gastos[],7,FALSE),"BORRADO")</f>
        <v>BORRADO</v>
      </c>
      <c r="H211" s="40" t="str">
        <f>IFERROR(VLOOKUP(9547,Gastos[],8,FALSE),"BORRADO")</f>
        <v>BORRADO</v>
      </c>
      <c r="I211" s="40" t="str">
        <f>IFERROR(VLOOKUP(9547,Gastos[],9,FALSE),"BORRADO")</f>
        <v>BORRADO</v>
      </c>
    </row>
    <row r="212" spans="1:9">
      <c r="A212" s="38" t="s">
        <v>355</v>
      </c>
      <c r="B212" s="39" t="str">
        <f>IFERROR(VLOOKUP(9548,Gastos[],2,FALSE),"BORRADO")</f>
        <v>BORRADO</v>
      </c>
      <c r="C212" s="40" t="str">
        <f>IFERROR(VLOOKUP(9548,Gastos[],3,FALSE),"BORRADO")</f>
        <v>BORRADO</v>
      </c>
      <c r="D212" s="41" t="str">
        <f>IFERROR(VLOOKUP(9548,Gastos[],4,FALSE),"BORRADO")</f>
        <v>BORRADO</v>
      </c>
      <c r="E212" s="42" t="str">
        <f>IFERROR(VLOOKUP(9548,Gastos[],5,FALSE),"BORRADO")</f>
        <v>BORRADO</v>
      </c>
      <c r="F212" s="41" t="str">
        <f>IFERROR(VLOOKUP(9548,Gastos[],6,FALSE),"BORRADO")</f>
        <v>BORRADO</v>
      </c>
      <c r="G212" s="40" t="str">
        <f>IFERROR(VLOOKUP(9548,Gastos[],7,FALSE),"BORRADO")</f>
        <v>BORRADO</v>
      </c>
      <c r="H212" s="40" t="str">
        <f>IFERROR(VLOOKUP(9548,Gastos[],8,FALSE),"BORRADO")</f>
        <v>BORRADO</v>
      </c>
      <c r="I212" s="40" t="str">
        <f>IFERROR(VLOOKUP(9548,Gastos[],9,FALSE),"BORRADO")</f>
        <v>BORRADO</v>
      </c>
    </row>
    <row r="213" spans="1:9">
      <c r="A213" s="38" t="s">
        <v>355</v>
      </c>
      <c r="B213" s="39" t="str">
        <f>IFERROR(VLOOKUP(9549,Gastos[],2,FALSE),"BORRADO")</f>
        <v>BORRADO</v>
      </c>
      <c r="C213" s="40" t="str">
        <f>IFERROR(VLOOKUP(9549,Gastos[],3,FALSE),"BORRADO")</f>
        <v>BORRADO</v>
      </c>
      <c r="D213" s="41" t="str">
        <f>IFERROR(VLOOKUP(9549,Gastos[],4,FALSE),"BORRADO")</f>
        <v>BORRADO</v>
      </c>
      <c r="E213" s="42" t="str">
        <f>IFERROR(VLOOKUP(9549,Gastos[],5,FALSE),"BORRADO")</f>
        <v>BORRADO</v>
      </c>
      <c r="F213" s="41" t="str">
        <f>IFERROR(VLOOKUP(9549,Gastos[],6,FALSE),"BORRADO")</f>
        <v>BORRADO</v>
      </c>
      <c r="G213" s="40" t="str">
        <f>IFERROR(VLOOKUP(9549,Gastos[],7,FALSE),"BORRADO")</f>
        <v>BORRADO</v>
      </c>
      <c r="H213" s="40" t="str">
        <f>IFERROR(VLOOKUP(9549,Gastos[],8,FALSE),"BORRADO")</f>
        <v>BORRADO</v>
      </c>
      <c r="I213" s="40" t="str">
        <f>IFERROR(VLOOKUP(9549,Gastos[],9,FALSE),"BORRADO")</f>
        <v>BORRADO</v>
      </c>
    </row>
    <row r="214" spans="1:9">
      <c r="A214" s="38" t="s">
        <v>354</v>
      </c>
      <c r="B214" s="39">
        <f>IFERROR(VLOOKUP(3168,Depositos[],2,FALSE),"BORRADO")</f>
        <v>42985</v>
      </c>
      <c r="C214" s="40" t="str">
        <f>IFERROR(VLOOKUP(3168,Depositos[],3,FALSE),"BORRADO")</f>
        <v>RR CHEQUE</v>
      </c>
      <c r="D214" s="41">
        <f>IFERROR(VLOOKUP(3168,Depositos[],4,FALSE),"BORRADO")</f>
        <v>20000</v>
      </c>
      <c r="E214" s="42">
        <f>IFERROR(VLOOKUP(3168,Depositos[],5,FALSE),"BORRADO")</f>
        <v>42986</v>
      </c>
      <c r="F214" s="41">
        <f ca="1">IFERROR(VLOOKUP(3168,Depositos[],6,FALSE),"BORRADO")</f>
        <v>15265</v>
      </c>
      <c r="G214" s="40" t="str">
        <f>IFERROR(VLOOKUP(3168,Depositos[],7,FALSE),"BORRADO")</f>
        <v>MACRO 70989904</v>
      </c>
      <c r="H214" s="40">
        <f>IFERROR(VLOOKUP(3168,Depositos[],8,FALSE),"BORRADO")</f>
        <v>0</v>
      </c>
      <c r="I214" s="40">
        <f>IFERROR(VLOOKUP(3168,Depositos[],9,FALSE),"BORRADO")</f>
        <v>0</v>
      </c>
    </row>
    <row r="215" spans="1:9">
      <c r="A215" s="38" t="s">
        <v>353</v>
      </c>
      <c r="B215" s="39">
        <f>IFERROR(VLOOKUP(2169,Chequeras[],2,FALSE),"BORRADO")</f>
        <v>42985</v>
      </c>
      <c r="C215" s="40" t="str">
        <f>IFERROR(VLOOKUP(2169,Chequeras[],3,FALSE),"BORRADO")</f>
        <v>01670241</v>
      </c>
      <c r="D215" s="41">
        <f>IFERROR(VLOOKUP(2169,Chequeras[],4,FALSE),"BORRADO")</f>
        <v>-10000</v>
      </c>
      <c r="E215" s="42">
        <f>IFERROR(VLOOKUP(2169,Chequeras[],5,FALSE),"BORRADO")</f>
        <v>43017</v>
      </c>
      <c r="F215" s="41">
        <f ca="1">IFERROR(VLOOKUP(2169,Chequeras[],6,FALSE),"BORRADO")</f>
        <v>9566</v>
      </c>
      <c r="G215" s="40" t="str">
        <f>IFERROR(VLOOKUP(2169,Chequeras[],7,FALSE),"BORRADO")</f>
        <v>Rojas Juan</v>
      </c>
      <c r="H215" s="40" t="str">
        <f>IFERROR(VLOOKUP(2169,Chequeras[],8,FALSE),"BORRADO")</f>
        <v>lh</v>
      </c>
      <c r="I215" s="40">
        <f>IFERROR(VLOOKUP(2169,Chequeras[],9,FALSE),"BORRADO")</f>
        <v>95</v>
      </c>
    </row>
    <row r="216" spans="1:9">
      <c r="A216" s="38" t="s">
        <v>353</v>
      </c>
      <c r="B216" s="39" t="str">
        <f>IFERROR(VLOOKUP(2085,Chequeras[],2,FALSE),"BORRADO")</f>
        <v>BORRADO</v>
      </c>
      <c r="C216" s="40" t="str">
        <f>IFERROR(VLOOKUP(2085,Chequeras[],3,FALSE),"BORRADO")</f>
        <v>BORRADO</v>
      </c>
      <c r="D216" s="41" t="str">
        <f>IFERROR(VLOOKUP(2085,Chequeras[],4,FALSE),"BORRADO")</f>
        <v>BORRADO</v>
      </c>
      <c r="E216" s="42" t="str">
        <f>IFERROR(VLOOKUP(2085,Chequeras[],5,FALSE),"BORRADO")</f>
        <v>BORRADO</v>
      </c>
      <c r="F216" s="41" t="str">
        <f>IFERROR(VLOOKUP(2085,Chequeras[],6,FALSE),"BORRADO")</f>
        <v>BORRADO</v>
      </c>
      <c r="G216" s="40" t="str">
        <f>IFERROR(VLOOKUP(2085,Chequeras[],7,FALSE),"BORRADO")</f>
        <v>BORRADO</v>
      </c>
      <c r="H216" s="40" t="str">
        <f>IFERROR(VLOOKUP(2085,Chequeras[],8,FALSE),"BORRADO")</f>
        <v>BORRADO</v>
      </c>
      <c r="I216" s="40" t="str">
        <f>IFERROR(VLOOKUP(2085,Chequeras[],9,FALSE),"BORRADO")</f>
        <v>BORRADO</v>
      </c>
    </row>
    <row r="217" spans="1:9">
      <c r="A217" s="38" t="s">
        <v>353</v>
      </c>
      <c r="B217" s="39" t="str">
        <f>IFERROR(VLOOKUP(2087,Chequeras[],2,FALSE),"BORRADO")</f>
        <v>BORRADO</v>
      </c>
      <c r="C217" s="40" t="str">
        <f>IFERROR(VLOOKUP(2087,Chequeras[],3,FALSE),"BORRADO")</f>
        <v>BORRADO</v>
      </c>
      <c r="D217" s="41" t="str">
        <f>IFERROR(VLOOKUP(2087,Chequeras[],4,FALSE),"BORRADO")</f>
        <v>BORRADO</v>
      </c>
      <c r="E217" s="42" t="str">
        <f>IFERROR(VLOOKUP(2087,Chequeras[],5,FALSE),"BORRADO")</f>
        <v>BORRADO</v>
      </c>
      <c r="F217" s="41" t="str">
        <f>IFERROR(VLOOKUP(2087,Chequeras[],6,FALSE),"BORRADO")</f>
        <v>BORRADO</v>
      </c>
      <c r="G217" s="40" t="str">
        <f>IFERROR(VLOOKUP(2087,Chequeras[],7,FALSE),"BORRADO")</f>
        <v>BORRADO</v>
      </c>
      <c r="H217" s="40" t="str">
        <f>IFERROR(VLOOKUP(2087,Chequeras[],8,FALSE),"BORRADO")</f>
        <v>BORRADO</v>
      </c>
      <c r="I217" s="40" t="str">
        <f>IFERROR(VLOOKUP(2087,Chequeras[],9,FALSE),"BORRADO")</f>
        <v>BORRADO</v>
      </c>
    </row>
    <row r="218" spans="1:9">
      <c r="A218" s="38" t="s">
        <v>353</v>
      </c>
      <c r="B218" s="39">
        <f>IFERROR(VLOOKUP(2088,Chequeras[],2,FALSE),"BORRADO")</f>
        <v>42986</v>
      </c>
      <c r="C218" s="40" t="str">
        <f>IFERROR(VLOOKUP(2088,Chequeras[],3,FALSE),"BORRADO")</f>
        <v>01656320</v>
      </c>
      <c r="D218" s="41">
        <f>IFERROR(VLOOKUP(2088,Chequeras[],4,FALSE),"BORRADO")</f>
        <v>-150000</v>
      </c>
      <c r="E218" s="42">
        <f>IFERROR(VLOOKUP(2088,Chequeras[],5,FALSE),"BORRADO")</f>
        <v>42986</v>
      </c>
      <c r="F218" s="41">
        <f ca="1">IFERROR(VLOOKUP(2088,Chequeras[],6,FALSE),"BORRADO")</f>
        <v>104018</v>
      </c>
      <c r="G218" s="40" t="str">
        <f>IFERROR(VLOOKUP(2088,Chequeras[],7,FALSE),"BORRADO")</f>
        <v>Horizontes fact.RR 07/09/2017</v>
      </c>
      <c r="H218" s="40" t="str">
        <f>IFERROR(VLOOKUP(2088,Chequeras[],8,FALSE),"BORRADO")</f>
        <v>RR</v>
      </c>
      <c r="I218" s="40">
        <f>IFERROR(VLOOKUP(2088,Chequeras[],9,FALSE),"BORRADO")</f>
        <v>93</v>
      </c>
    </row>
    <row r="219" spans="1:9">
      <c r="A219" s="38" t="s">
        <v>354</v>
      </c>
      <c r="B219" s="39">
        <f>IFERROR(VLOOKUP(3169,Depositos[],2,FALSE),"BORRADO")</f>
        <v>42986</v>
      </c>
      <c r="C219" s="40" t="str">
        <f>IFERROR(VLOOKUP(3169,Depositos[],3,FALSE),"BORRADO")</f>
        <v>EFECTIVO</v>
      </c>
      <c r="D219" s="41">
        <f>IFERROR(VLOOKUP(3169,Depositos[],4,FALSE),"BORRADO")</f>
        <v>100000</v>
      </c>
      <c r="E219" s="42">
        <f>IFERROR(VLOOKUP(3169,Depositos[],5,FALSE),"BORRADO")</f>
        <v>42986</v>
      </c>
      <c r="F219" s="41">
        <f ca="1">IFERROR(VLOOKUP(3169,Depositos[],6,FALSE),"BORRADO")</f>
        <v>68136</v>
      </c>
      <c r="G219" s="40" t="str">
        <f>IFERROR(VLOOKUP(3169,Depositos[],7,FALSE),"BORRADO")</f>
        <v>EFECTIVO RR</v>
      </c>
      <c r="H219" s="40">
        <f>IFERROR(VLOOKUP(3169,Depositos[],8,FALSE),"BORRADO")</f>
        <v>0</v>
      </c>
      <c r="I219" s="40">
        <f>IFERROR(VLOOKUP(3169,Depositos[],9,FALSE),"BORRADO")</f>
        <v>0</v>
      </c>
    </row>
    <row r="220" spans="1:9">
      <c r="A220" s="38" t="s">
        <v>354</v>
      </c>
      <c r="B220" s="39">
        <f>IFERROR(VLOOKUP(3170,Depositos[],2,FALSE),"BORRADO")</f>
        <v>42986</v>
      </c>
      <c r="C220" s="40" t="str">
        <f>IFERROR(VLOOKUP(3170,Depositos[],3,FALSE),"BORRADO")</f>
        <v>EFECTIVO</v>
      </c>
      <c r="D220" s="41">
        <f>IFERROR(VLOOKUP(3170,Depositos[],4,FALSE),"BORRADO")</f>
        <v>50000</v>
      </c>
      <c r="E220" s="42">
        <f>IFERROR(VLOOKUP(3170,Depositos[],5,FALSE),"BORRADO")</f>
        <v>42986</v>
      </c>
      <c r="F220" s="41">
        <f ca="1">IFERROR(VLOOKUP(3170,Depositos[],6,FALSE),"BORRADO")</f>
        <v>42636</v>
      </c>
      <c r="G220" s="40" t="str">
        <f>IFERROR(VLOOKUP(3170,Depositos[],7,FALSE),"BORRADO")</f>
        <v>EFECTIVO RR</v>
      </c>
      <c r="H220" s="40">
        <f>IFERROR(VLOOKUP(3170,Depositos[],8,FALSE),"BORRADO")</f>
        <v>0</v>
      </c>
      <c r="I220" s="40">
        <f>IFERROR(VLOOKUP(3170,Depositos[],9,FALSE),"BORRADO")</f>
        <v>0</v>
      </c>
    </row>
    <row r="221" spans="1:9">
      <c r="A221" s="38" t="s">
        <v>354</v>
      </c>
      <c r="B221" s="39">
        <f>IFERROR(VLOOKUP(3171,Depositos[],2,FALSE),"BORRADO")</f>
        <v>42986</v>
      </c>
      <c r="C221" s="40" t="str">
        <f>IFERROR(VLOOKUP(3171,Depositos[],3,FALSE),"BORRADO")</f>
        <v>EFECTIVO</v>
      </c>
      <c r="D221" s="41">
        <f>IFERROR(VLOOKUP(3171,Depositos[],4,FALSE),"BORRADO")</f>
        <v>150000</v>
      </c>
      <c r="E221" s="42">
        <f>IFERROR(VLOOKUP(3171,Depositos[],5,FALSE),"BORRADO")</f>
        <v>42986</v>
      </c>
      <c r="F221" s="41">
        <f ca="1">IFERROR(VLOOKUP(3171,Depositos[],6,FALSE),"BORRADO")</f>
        <v>991</v>
      </c>
      <c r="G221" s="40">
        <f>IFERROR(VLOOKUP(3171,Depositos[],7,FALSE),"BORRADO")</f>
        <v>0</v>
      </c>
      <c r="H221" s="40">
        <f>IFERROR(VLOOKUP(3171,Depositos[],8,FALSE),"BORRADO")</f>
        <v>0</v>
      </c>
      <c r="I221" s="40">
        <f>IFERROR(VLOOKUP(3171,Depositos[],9,FALSE),"BORRADO")</f>
        <v>0</v>
      </c>
    </row>
    <row r="222" spans="1:9">
      <c r="A222" s="38" t="s">
        <v>355</v>
      </c>
      <c r="B222" s="39" t="str">
        <f>IFERROR(VLOOKUP(9550,Gastos[],2,FALSE),"BORRADO")</f>
        <v>BORRADO</v>
      </c>
      <c r="C222" s="40" t="str">
        <f>IFERROR(VLOOKUP(9550,Gastos[],3,FALSE),"BORRADO")</f>
        <v>BORRADO</v>
      </c>
      <c r="D222" s="41" t="str">
        <f>IFERROR(VLOOKUP(9550,Gastos[],4,FALSE),"BORRADO")</f>
        <v>BORRADO</v>
      </c>
      <c r="E222" s="42" t="str">
        <f>IFERROR(VLOOKUP(9550,Gastos[],5,FALSE),"BORRADO")</f>
        <v>BORRADO</v>
      </c>
      <c r="F222" s="41" t="str">
        <f>IFERROR(VLOOKUP(9550,Gastos[],6,FALSE),"BORRADO")</f>
        <v>BORRADO</v>
      </c>
      <c r="G222" s="40" t="str">
        <f>IFERROR(VLOOKUP(9550,Gastos[],7,FALSE),"BORRADO")</f>
        <v>BORRADO</v>
      </c>
      <c r="H222" s="40" t="str">
        <f>IFERROR(VLOOKUP(9550,Gastos[],8,FALSE),"BORRADO")</f>
        <v>BORRADO</v>
      </c>
      <c r="I222" s="40" t="str">
        <f>IFERROR(VLOOKUP(9550,Gastos[],9,FALSE),"BORRADO")</f>
        <v>BORRADO</v>
      </c>
    </row>
    <row r="223" spans="1:9">
      <c r="A223" s="38" t="s">
        <v>355</v>
      </c>
      <c r="B223" s="39" t="str">
        <f>IFERROR(VLOOKUP(9551,Gastos[],2,FALSE),"BORRADO")</f>
        <v>BORRADO</v>
      </c>
      <c r="C223" s="40" t="str">
        <f>IFERROR(VLOOKUP(9551,Gastos[],3,FALSE),"BORRADO")</f>
        <v>BORRADO</v>
      </c>
      <c r="D223" s="41" t="str">
        <f>IFERROR(VLOOKUP(9551,Gastos[],4,FALSE),"BORRADO")</f>
        <v>BORRADO</v>
      </c>
      <c r="E223" s="42" t="str">
        <f>IFERROR(VLOOKUP(9551,Gastos[],5,FALSE),"BORRADO")</f>
        <v>BORRADO</v>
      </c>
      <c r="F223" s="41" t="str">
        <f>IFERROR(VLOOKUP(9551,Gastos[],6,FALSE),"BORRADO")</f>
        <v>BORRADO</v>
      </c>
      <c r="G223" s="40" t="str">
        <f>IFERROR(VLOOKUP(9551,Gastos[],7,FALSE),"BORRADO")</f>
        <v>BORRADO</v>
      </c>
      <c r="H223" s="40" t="str">
        <f>IFERROR(VLOOKUP(9551,Gastos[],8,FALSE),"BORRADO")</f>
        <v>BORRADO</v>
      </c>
      <c r="I223" s="40" t="str">
        <f>IFERROR(VLOOKUP(9551,Gastos[],9,FALSE),"BORRADO")</f>
        <v>BORRADO</v>
      </c>
    </row>
    <row r="224" spans="1:9">
      <c r="A224" s="38" t="s">
        <v>355</v>
      </c>
      <c r="B224" s="39" t="str">
        <f>IFERROR(VLOOKUP(9552,Gastos[],2,FALSE),"BORRADO")</f>
        <v>BORRADO</v>
      </c>
      <c r="C224" s="40" t="str">
        <f>IFERROR(VLOOKUP(9552,Gastos[],3,FALSE),"BORRADO")</f>
        <v>BORRADO</v>
      </c>
      <c r="D224" s="41" t="str">
        <f>IFERROR(VLOOKUP(9552,Gastos[],4,FALSE),"BORRADO")</f>
        <v>BORRADO</v>
      </c>
      <c r="E224" s="42" t="str">
        <f>IFERROR(VLOOKUP(9552,Gastos[],5,FALSE),"BORRADO")</f>
        <v>BORRADO</v>
      </c>
      <c r="F224" s="41" t="str">
        <f>IFERROR(VLOOKUP(9552,Gastos[],6,FALSE),"BORRADO")</f>
        <v>BORRADO</v>
      </c>
      <c r="G224" s="40" t="str">
        <f>IFERROR(VLOOKUP(9552,Gastos[],7,FALSE),"BORRADO")</f>
        <v>BORRADO</v>
      </c>
      <c r="H224" s="40" t="str">
        <f>IFERROR(VLOOKUP(9552,Gastos[],8,FALSE),"BORRADO")</f>
        <v>BORRADO</v>
      </c>
      <c r="I224" s="40" t="str">
        <f>IFERROR(VLOOKUP(9552,Gastos[],9,FALSE),"BORRADO")</f>
        <v>BORRADO</v>
      </c>
    </row>
    <row r="225" spans="1:9">
      <c r="A225" s="38" t="s">
        <v>355</v>
      </c>
      <c r="B225" s="39" t="str">
        <f>IFERROR(VLOOKUP(9553,Gastos[],2,FALSE),"BORRADO")</f>
        <v>BORRADO</v>
      </c>
      <c r="C225" s="40" t="str">
        <f>IFERROR(VLOOKUP(9553,Gastos[],3,FALSE),"BORRADO")</f>
        <v>BORRADO</v>
      </c>
      <c r="D225" s="41" t="str">
        <f>IFERROR(VLOOKUP(9553,Gastos[],4,FALSE),"BORRADO")</f>
        <v>BORRADO</v>
      </c>
      <c r="E225" s="42" t="str">
        <f>IFERROR(VLOOKUP(9553,Gastos[],5,FALSE),"BORRADO")</f>
        <v>BORRADO</v>
      </c>
      <c r="F225" s="41" t="str">
        <f>IFERROR(VLOOKUP(9553,Gastos[],6,FALSE),"BORRADO")</f>
        <v>BORRADO</v>
      </c>
      <c r="G225" s="40" t="str">
        <f>IFERROR(VLOOKUP(9553,Gastos[],7,FALSE),"BORRADO")</f>
        <v>BORRADO</v>
      </c>
      <c r="H225" s="40" t="str">
        <f>IFERROR(VLOOKUP(9553,Gastos[],8,FALSE),"BORRADO")</f>
        <v>BORRADO</v>
      </c>
      <c r="I225" s="40" t="str">
        <f>IFERROR(VLOOKUP(9553,Gastos[],9,FALSE),"BORRADO")</f>
        <v>BORRADO</v>
      </c>
    </row>
    <row r="226" spans="1:9">
      <c r="A226" s="38" t="s">
        <v>355</v>
      </c>
      <c r="B226" s="39" t="str">
        <f>IFERROR(VLOOKUP(9554,Gastos[],2,FALSE),"BORRADO")</f>
        <v>BORRADO</v>
      </c>
      <c r="C226" s="40" t="str">
        <f>IFERROR(VLOOKUP(9554,Gastos[],3,FALSE),"BORRADO")</f>
        <v>BORRADO</v>
      </c>
      <c r="D226" s="41" t="str">
        <f>IFERROR(VLOOKUP(9554,Gastos[],4,FALSE),"BORRADO")</f>
        <v>BORRADO</v>
      </c>
      <c r="E226" s="42" t="str">
        <f>IFERROR(VLOOKUP(9554,Gastos[],5,FALSE),"BORRADO")</f>
        <v>BORRADO</v>
      </c>
      <c r="F226" s="41" t="str">
        <f>IFERROR(VLOOKUP(9554,Gastos[],6,FALSE),"BORRADO")</f>
        <v>BORRADO</v>
      </c>
      <c r="G226" s="40" t="str">
        <f>IFERROR(VLOOKUP(9554,Gastos[],7,FALSE),"BORRADO")</f>
        <v>BORRADO</v>
      </c>
      <c r="H226" s="40" t="str">
        <f>IFERROR(VLOOKUP(9554,Gastos[],8,FALSE),"BORRADO")</f>
        <v>BORRADO</v>
      </c>
      <c r="I226" s="40" t="str">
        <f>IFERROR(VLOOKUP(9554,Gastos[],9,FALSE),"BORRADO")</f>
        <v>BORRADO</v>
      </c>
    </row>
    <row r="227" spans="1:9">
      <c r="A227" s="38" t="s">
        <v>355</v>
      </c>
      <c r="B227" s="39" t="str">
        <f>IFERROR(VLOOKUP(9555,Gastos[],2,FALSE),"BORRADO")</f>
        <v>BORRADO</v>
      </c>
      <c r="C227" s="40" t="str">
        <f>IFERROR(VLOOKUP(9555,Gastos[],3,FALSE),"BORRADO")</f>
        <v>BORRADO</v>
      </c>
      <c r="D227" s="41" t="str">
        <f>IFERROR(VLOOKUP(9555,Gastos[],4,FALSE),"BORRADO")</f>
        <v>BORRADO</v>
      </c>
      <c r="E227" s="42" t="str">
        <f>IFERROR(VLOOKUP(9555,Gastos[],5,FALSE),"BORRADO")</f>
        <v>BORRADO</v>
      </c>
      <c r="F227" s="41" t="str">
        <f>IFERROR(VLOOKUP(9555,Gastos[],6,FALSE),"BORRADO")</f>
        <v>BORRADO</v>
      </c>
      <c r="G227" s="40" t="str">
        <f>IFERROR(VLOOKUP(9555,Gastos[],7,FALSE),"BORRADO")</f>
        <v>BORRADO</v>
      </c>
      <c r="H227" s="40" t="str">
        <f>IFERROR(VLOOKUP(9555,Gastos[],8,FALSE),"BORRADO")</f>
        <v>BORRADO</v>
      </c>
      <c r="I227" s="40" t="str">
        <f>IFERROR(VLOOKUP(9555,Gastos[],9,FALSE),"BORRADO")</f>
        <v>BORRADO</v>
      </c>
    </row>
    <row r="228" spans="1:9">
      <c r="A228" s="38" t="s">
        <v>355</v>
      </c>
      <c r="B228" s="39" t="str">
        <f>IFERROR(VLOOKUP(9556,Gastos[],2,FALSE),"BORRADO")</f>
        <v>BORRADO</v>
      </c>
      <c r="C228" s="40" t="str">
        <f>IFERROR(VLOOKUP(9556,Gastos[],3,FALSE),"BORRADO")</f>
        <v>BORRADO</v>
      </c>
      <c r="D228" s="41" t="str">
        <f>IFERROR(VLOOKUP(9556,Gastos[],4,FALSE),"BORRADO")</f>
        <v>BORRADO</v>
      </c>
      <c r="E228" s="42" t="str">
        <f>IFERROR(VLOOKUP(9556,Gastos[],5,FALSE),"BORRADO")</f>
        <v>BORRADO</v>
      </c>
      <c r="F228" s="41" t="str">
        <f>IFERROR(VLOOKUP(9556,Gastos[],6,FALSE),"BORRADO")</f>
        <v>BORRADO</v>
      </c>
      <c r="G228" s="40" t="str">
        <f>IFERROR(VLOOKUP(9556,Gastos[],7,FALSE),"BORRADO")</f>
        <v>BORRADO</v>
      </c>
      <c r="H228" s="40" t="str">
        <f>IFERROR(VLOOKUP(9556,Gastos[],8,FALSE),"BORRADO")</f>
        <v>BORRADO</v>
      </c>
      <c r="I228" s="40" t="str">
        <f>IFERROR(VLOOKUP(9556,Gastos[],9,FALSE),"BORRADO")</f>
        <v>BORRADO</v>
      </c>
    </row>
    <row r="229" spans="1:9">
      <c r="A229" s="38" t="s">
        <v>355</v>
      </c>
      <c r="B229" s="39" t="str">
        <f>IFERROR(VLOOKUP(9557,Gastos[],2,FALSE),"BORRADO")</f>
        <v>BORRADO</v>
      </c>
      <c r="C229" s="40" t="str">
        <f>IFERROR(VLOOKUP(9557,Gastos[],3,FALSE),"BORRADO")</f>
        <v>BORRADO</v>
      </c>
      <c r="D229" s="41" t="str">
        <f>IFERROR(VLOOKUP(9557,Gastos[],4,FALSE),"BORRADO")</f>
        <v>BORRADO</v>
      </c>
      <c r="E229" s="42" t="str">
        <f>IFERROR(VLOOKUP(9557,Gastos[],5,FALSE),"BORRADO")</f>
        <v>BORRADO</v>
      </c>
      <c r="F229" s="41" t="str">
        <f>IFERROR(VLOOKUP(9557,Gastos[],6,FALSE),"BORRADO")</f>
        <v>BORRADO</v>
      </c>
      <c r="G229" s="40" t="str">
        <f>IFERROR(VLOOKUP(9557,Gastos[],7,FALSE),"BORRADO")</f>
        <v>BORRADO</v>
      </c>
      <c r="H229" s="40" t="str">
        <f>IFERROR(VLOOKUP(9557,Gastos[],8,FALSE),"BORRADO")</f>
        <v>BORRADO</v>
      </c>
      <c r="I229" s="40" t="str">
        <f>IFERROR(VLOOKUP(9557,Gastos[],9,FALSE),"BORRADO")</f>
        <v>BORRADO</v>
      </c>
    </row>
    <row r="230" spans="1:9">
      <c r="A230" s="38" t="s">
        <v>355</v>
      </c>
      <c r="B230" s="39" t="str">
        <f>IFERROR(VLOOKUP(9558,Gastos[],2,FALSE),"BORRADO")</f>
        <v>BORRADO</v>
      </c>
      <c r="C230" s="40" t="str">
        <f>IFERROR(VLOOKUP(9558,Gastos[],3,FALSE),"BORRADO")</f>
        <v>BORRADO</v>
      </c>
      <c r="D230" s="41" t="str">
        <f>IFERROR(VLOOKUP(9558,Gastos[],4,FALSE),"BORRADO")</f>
        <v>BORRADO</v>
      </c>
      <c r="E230" s="42" t="str">
        <f>IFERROR(VLOOKUP(9558,Gastos[],5,FALSE),"BORRADO")</f>
        <v>BORRADO</v>
      </c>
      <c r="F230" s="41" t="str">
        <f>IFERROR(VLOOKUP(9558,Gastos[],6,FALSE),"BORRADO")</f>
        <v>BORRADO</v>
      </c>
      <c r="G230" s="40" t="str">
        <f>IFERROR(VLOOKUP(9558,Gastos[],7,FALSE),"BORRADO")</f>
        <v>BORRADO</v>
      </c>
      <c r="H230" s="40" t="str">
        <f>IFERROR(VLOOKUP(9558,Gastos[],8,FALSE),"BORRADO")</f>
        <v>BORRADO</v>
      </c>
      <c r="I230" s="40" t="str">
        <f>IFERROR(VLOOKUP(9558,Gastos[],9,FALSE),"BORRADO")</f>
        <v>BORRADO</v>
      </c>
    </row>
    <row r="231" spans="1:9">
      <c r="A231" s="38" t="s">
        <v>355</v>
      </c>
      <c r="B231" s="39" t="str">
        <f>IFERROR(VLOOKUP(9559,Gastos[],2,FALSE),"BORRADO")</f>
        <v>BORRADO</v>
      </c>
      <c r="C231" s="40" t="str">
        <f>IFERROR(VLOOKUP(9559,Gastos[],3,FALSE),"BORRADO")</f>
        <v>BORRADO</v>
      </c>
      <c r="D231" s="41" t="str">
        <f>IFERROR(VLOOKUP(9559,Gastos[],4,FALSE),"BORRADO")</f>
        <v>BORRADO</v>
      </c>
      <c r="E231" s="42" t="str">
        <f>IFERROR(VLOOKUP(9559,Gastos[],5,FALSE),"BORRADO")</f>
        <v>BORRADO</v>
      </c>
      <c r="F231" s="41" t="str">
        <f>IFERROR(VLOOKUP(9559,Gastos[],6,FALSE),"BORRADO")</f>
        <v>BORRADO</v>
      </c>
      <c r="G231" s="40" t="str">
        <f>IFERROR(VLOOKUP(9559,Gastos[],7,FALSE),"BORRADO")</f>
        <v>BORRADO</v>
      </c>
      <c r="H231" s="40" t="str">
        <f>IFERROR(VLOOKUP(9559,Gastos[],8,FALSE),"BORRADO")</f>
        <v>BORRADO</v>
      </c>
      <c r="I231" s="40" t="str">
        <f>IFERROR(VLOOKUP(9559,Gastos[],9,FALSE),"BORRADO")</f>
        <v>BORRADO</v>
      </c>
    </row>
    <row r="232" spans="1:9">
      <c r="A232" s="38" t="s">
        <v>355</v>
      </c>
      <c r="B232" s="39" t="str">
        <f>IFERROR(VLOOKUP(9560,Gastos[],2,FALSE),"BORRADO")</f>
        <v>BORRADO</v>
      </c>
      <c r="C232" s="40" t="str">
        <f>IFERROR(VLOOKUP(9560,Gastos[],3,FALSE),"BORRADO")</f>
        <v>BORRADO</v>
      </c>
      <c r="D232" s="41" t="str">
        <f>IFERROR(VLOOKUP(9560,Gastos[],4,FALSE),"BORRADO")</f>
        <v>BORRADO</v>
      </c>
      <c r="E232" s="42" t="str">
        <f>IFERROR(VLOOKUP(9560,Gastos[],5,FALSE),"BORRADO")</f>
        <v>BORRADO</v>
      </c>
      <c r="F232" s="41" t="str">
        <f>IFERROR(VLOOKUP(9560,Gastos[],6,FALSE),"BORRADO")</f>
        <v>BORRADO</v>
      </c>
      <c r="G232" s="40" t="str">
        <f>IFERROR(VLOOKUP(9560,Gastos[],7,FALSE),"BORRADO")</f>
        <v>BORRADO</v>
      </c>
      <c r="H232" s="40" t="str">
        <f>IFERROR(VLOOKUP(9560,Gastos[],8,FALSE),"BORRADO")</f>
        <v>BORRADO</v>
      </c>
      <c r="I232" s="40" t="str">
        <f>IFERROR(VLOOKUP(9560,Gastos[],9,FALSE),"BORRADO")</f>
        <v>BORRADO</v>
      </c>
    </row>
    <row r="233" spans="1:9">
      <c r="A233" s="38" t="s">
        <v>355</v>
      </c>
      <c r="B233" s="39" t="str">
        <f>IFERROR(VLOOKUP(9561,Gastos[],2,FALSE),"BORRADO")</f>
        <v>BORRADO</v>
      </c>
      <c r="C233" s="40" t="str">
        <f>IFERROR(VLOOKUP(9561,Gastos[],3,FALSE),"BORRADO")</f>
        <v>BORRADO</v>
      </c>
      <c r="D233" s="41" t="str">
        <f>IFERROR(VLOOKUP(9561,Gastos[],4,FALSE),"BORRADO")</f>
        <v>BORRADO</v>
      </c>
      <c r="E233" s="42" t="str">
        <f>IFERROR(VLOOKUP(9561,Gastos[],5,FALSE),"BORRADO")</f>
        <v>BORRADO</v>
      </c>
      <c r="F233" s="41" t="str">
        <f>IFERROR(VLOOKUP(9561,Gastos[],6,FALSE),"BORRADO")</f>
        <v>BORRADO</v>
      </c>
      <c r="G233" s="40" t="str">
        <f>IFERROR(VLOOKUP(9561,Gastos[],7,FALSE),"BORRADO")</f>
        <v>BORRADO</v>
      </c>
      <c r="H233" s="40" t="str">
        <f>IFERROR(VLOOKUP(9561,Gastos[],8,FALSE),"BORRADO")</f>
        <v>BORRADO</v>
      </c>
      <c r="I233" s="40" t="str">
        <f>IFERROR(VLOOKUP(9561,Gastos[],9,FALSE),"BORRADO")</f>
        <v>BORRADO</v>
      </c>
    </row>
    <row r="234" spans="1:9">
      <c r="A234" s="38" t="s">
        <v>355</v>
      </c>
      <c r="B234" s="39" t="str">
        <f>IFERROR(VLOOKUP(9562,Gastos[],2,FALSE),"BORRADO")</f>
        <v>BORRADO</v>
      </c>
      <c r="C234" s="40" t="str">
        <f>IFERROR(VLOOKUP(9562,Gastos[],3,FALSE),"BORRADO")</f>
        <v>BORRADO</v>
      </c>
      <c r="D234" s="41" t="str">
        <f>IFERROR(VLOOKUP(9562,Gastos[],4,FALSE),"BORRADO")</f>
        <v>BORRADO</v>
      </c>
      <c r="E234" s="42" t="str">
        <f>IFERROR(VLOOKUP(9562,Gastos[],5,FALSE),"BORRADO")</f>
        <v>BORRADO</v>
      </c>
      <c r="F234" s="41" t="str">
        <f>IFERROR(VLOOKUP(9562,Gastos[],6,FALSE),"BORRADO")</f>
        <v>BORRADO</v>
      </c>
      <c r="G234" s="40" t="str">
        <f>IFERROR(VLOOKUP(9562,Gastos[],7,FALSE),"BORRADO")</f>
        <v>BORRADO</v>
      </c>
      <c r="H234" s="40" t="str">
        <f>IFERROR(VLOOKUP(9562,Gastos[],8,FALSE),"BORRADO")</f>
        <v>BORRADO</v>
      </c>
      <c r="I234" s="40" t="str">
        <f>IFERROR(VLOOKUP(9562,Gastos[],9,FALSE),"BORRADO")</f>
        <v>BORRADO</v>
      </c>
    </row>
    <row r="235" spans="1:9">
      <c r="A235" s="38" t="s">
        <v>354</v>
      </c>
      <c r="B235" s="39">
        <f>IFERROR(VLOOKUP(3172,Depositos[],2,FALSE),"BORRADO")</f>
        <v>42986</v>
      </c>
      <c r="C235" s="40" t="str">
        <f>IFERROR(VLOOKUP(3172,Depositos[],3,FALSE),"BORRADO")</f>
        <v>RR CHEQUE</v>
      </c>
      <c r="D235" s="41">
        <f>IFERROR(VLOOKUP(3172,Depositos[],4,FALSE),"BORRADO")</f>
        <v>3886.34</v>
      </c>
      <c r="E235" s="42">
        <f>IFERROR(VLOOKUP(3172,Depositos[],5,FALSE),"BORRADO")</f>
        <v>42989</v>
      </c>
      <c r="F235" s="41">
        <f ca="1">IFERROR(VLOOKUP(3172,Depositos[],6,FALSE),"BORRADO")</f>
        <v>401</v>
      </c>
      <c r="G235" s="40" t="str">
        <f>IFERROR(VLOOKUP(3172,Depositos[],7,FALSE),"BORRADO")</f>
        <v>INDUSTRIAL 13218008</v>
      </c>
      <c r="H235" s="40">
        <f>IFERROR(VLOOKUP(3172,Depositos[],8,FALSE),"BORRADO")</f>
        <v>0</v>
      </c>
      <c r="I235" s="40">
        <f>IFERROR(VLOOKUP(3172,Depositos[],9,FALSE),"BORRADO")</f>
        <v>0</v>
      </c>
    </row>
    <row r="236" spans="1:9">
      <c r="A236" s="38" t="s">
        <v>353</v>
      </c>
      <c r="B236" s="39">
        <f>IFERROR(VLOOKUP(2089,Chequeras[],2,FALSE),"BORRADO")</f>
        <v>42986</v>
      </c>
      <c r="C236" s="40" t="str">
        <f>IFERROR(VLOOKUP(2089,Chequeras[],3,FALSE),"BORRADO")</f>
        <v>01656321</v>
      </c>
      <c r="D236" s="41">
        <f>IFERROR(VLOOKUP(2089,Chequeras[],4,FALSE),"BORRADO")</f>
        <v>-150000</v>
      </c>
      <c r="E236" s="42">
        <f>IFERROR(VLOOKUP(2089,Chequeras[],5,FALSE),"BORRADO")</f>
        <v>42991</v>
      </c>
      <c r="F236" s="41">
        <f ca="1">IFERROR(VLOOKUP(2089,Chequeras[],6,FALSE),"BORRADO")</f>
        <v>896</v>
      </c>
      <c r="G236" s="40" t="str">
        <f>IFERROR(VLOOKUP(2089,Chequeras[],7,FALSE),"BORRADO")</f>
        <v>Horizontes fact.RR 12/09/2017</v>
      </c>
      <c r="H236" s="40" t="str">
        <f>IFERROR(VLOOKUP(2089,Chequeras[],8,FALSE),"BORRADO")</f>
        <v>RR</v>
      </c>
      <c r="I236" s="40">
        <f>IFERROR(VLOOKUP(2089,Chequeras[],9,FALSE),"BORRADO")</f>
        <v>93</v>
      </c>
    </row>
    <row r="237" spans="1:9">
      <c r="A237" s="38" t="s">
        <v>353</v>
      </c>
      <c r="B237" s="39" t="str">
        <f>IFERROR(VLOOKUP(1175,Chequeras[],2,FALSE),"BORRADO")</f>
        <v>BORRADO</v>
      </c>
      <c r="C237" s="40" t="str">
        <f>IFERROR(VLOOKUP(1175,Chequeras[],3,FALSE),"BORRADO")</f>
        <v>BORRADO</v>
      </c>
      <c r="D237" s="41" t="str">
        <f>IFERROR(VLOOKUP(1175,Chequeras[],4,FALSE),"BORRADO")</f>
        <v>BORRADO</v>
      </c>
      <c r="E237" s="42" t="str">
        <f>IFERROR(VLOOKUP(1175,Chequeras[],5,FALSE),"BORRADO")</f>
        <v>BORRADO</v>
      </c>
      <c r="F237" s="41" t="str">
        <f>IFERROR(VLOOKUP(1175,Chequeras[],6,FALSE),"BORRADO")</f>
        <v>BORRADO</v>
      </c>
      <c r="G237" s="40" t="str">
        <f>IFERROR(VLOOKUP(1175,Chequeras[],7,FALSE),"BORRADO")</f>
        <v>BORRADO</v>
      </c>
      <c r="H237" s="40" t="str">
        <f>IFERROR(VLOOKUP(1175,Chequeras[],8,FALSE),"BORRADO")</f>
        <v>BORRADO</v>
      </c>
      <c r="I237" s="40" t="str">
        <f>IFERROR(VLOOKUP(1175,Chequeras[],9,FALSE),"BORRADO")</f>
        <v>BORRADO</v>
      </c>
    </row>
    <row r="238" spans="1:9">
      <c r="A238" s="38" t="s">
        <v>353</v>
      </c>
      <c r="B238" s="39" t="str">
        <f>IFERROR(VLOOKUP(1176,Chequeras[],2,FALSE),"BORRADO")</f>
        <v>BORRADO</v>
      </c>
      <c r="C238" s="40" t="str">
        <f>IFERROR(VLOOKUP(1176,Chequeras[],3,FALSE),"BORRADO")</f>
        <v>BORRADO</v>
      </c>
      <c r="D238" s="41" t="str">
        <f>IFERROR(VLOOKUP(1176,Chequeras[],4,FALSE),"BORRADO")</f>
        <v>BORRADO</v>
      </c>
      <c r="E238" s="42" t="str">
        <f>IFERROR(VLOOKUP(1176,Chequeras[],5,FALSE),"BORRADO")</f>
        <v>BORRADO</v>
      </c>
      <c r="F238" s="41" t="str">
        <f>IFERROR(VLOOKUP(1176,Chequeras[],6,FALSE),"BORRADO")</f>
        <v>BORRADO</v>
      </c>
      <c r="G238" s="40" t="str">
        <f>IFERROR(VLOOKUP(1176,Chequeras[],7,FALSE),"BORRADO")</f>
        <v>BORRADO</v>
      </c>
      <c r="H238" s="40" t="str">
        <f>IFERROR(VLOOKUP(1176,Chequeras[],8,FALSE),"BORRADO")</f>
        <v>BORRADO</v>
      </c>
      <c r="I238" s="40" t="str">
        <f>IFERROR(VLOOKUP(1176,Chequeras[],9,FALSE),"BORRADO")</f>
        <v>BORRADO</v>
      </c>
    </row>
    <row r="239" spans="1:9">
      <c r="A239" s="38" t="s">
        <v>353</v>
      </c>
      <c r="B239" s="39" t="str">
        <f>IFERROR(VLOOKUP(1177,Chequeras[],2,FALSE),"BORRADO")</f>
        <v>BORRADO</v>
      </c>
      <c r="C239" s="40" t="str">
        <f>IFERROR(VLOOKUP(1177,Chequeras[],3,FALSE),"BORRADO")</f>
        <v>BORRADO</v>
      </c>
      <c r="D239" s="41" t="str">
        <f>IFERROR(VLOOKUP(1177,Chequeras[],4,FALSE),"BORRADO")</f>
        <v>BORRADO</v>
      </c>
      <c r="E239" s="42" t="str">
        <f>IFERROR(VLOOKUP(1177,Chequeras[],5,FALSE),"BORRADO")</f>
        <v>BORRADO</v>
      </c>
      <c r="F239" s="41" t="str">
        <f>IFERROR(VLOOKUP(1177,Chequeras[],6,FALSE),"BORRADO")</f>
        <v>BORRADO</v>
      </c>
      <c r="G239" s="40" t="str">
        <f>IFERROR(VLOOKUP(1177,Chequeras[],7,FALSE),"BORRADO")</f>
        <v>BORRADO</v>
      </c>
      <c r="H239" s="40" t="str">
        <f>IFERROR(VLOOKUP(1177,Chequeras[],8,FALSE),"BORRADO")</f>
        <v>BORRADO</v>
      </c>
      <c r="I239" s="40" t="str">
        <f>IFERROR(VLOOKUP(1177,Chequeras[],9,FALSE),"BORRADO")</f>
        <v>BORRADO</v>
      </c>
    </row>
    <row r="240" spans="1:9">
      <c r="A240" s="38" t="s">
        <v>353</v>
      </c>
      <c r="B240" s="39" t="str">
        <f>IFERROR(VLOOKUP(1178,Chequeras[],2,FALSE),"BORRADO")</f>
        <v>BORRADO</v>
      </c>
      <c r="C240" s="40" t="str">
        <f>IFERROR(VLOOKUP(1178,Chequeras[],3,FALSE),"BORRADO")</f>
        <v>BORRADO</v>
      </c>
      <c r="D240" s="41" t="str">
        <f>IFERROR(VLOOKUP(1178,Chequeras[],4,FALSE),"BORRADO")</f>
        <v>BORRADO</v>
      </c>
      <c r="E240" s="42" t="str">
        <f>IFERROR(VLOOKUP(1178,Chequeras[],5,FALSE),"BORRADO")</f>
        <v>BORRADO</v>
      </c>
      <c r="F240" s="41" t="str">
        <f>IFERROR(VLOOKUP(1178,Chequeras[],6,FALSE),"BORRADO")</f>
        <v>BORRADO</v>
      </c>
      <c r="G240" s="40" t="str">
        <f>IFERROR(VLOOKUP(1178,Chequeras[],7,FALSE),"BORRADO")</f>
        <v>BORRADO</v>
      </c>
      <c r="H240" s="40" t="str">
        <f>IFERROR(VLOOKUP(1178,Chequeras[],8,FALSE),"BORRADO")</f>
        <v>BORRADO</v>
      </c>
      <c r="I240" s="40" t="str">
        <f>IFERROR(VLOOKUP(1178,Chequeras[],9,FALSE),"BORRADO")</f>
        <v>BORRADO</v>
      </c>
    </row>
    <row r="241" spans="1:9">
      <c r="A241" s="38" t="s">
        <v>353</v>
      </c>
      <c r="B241" s="39" t="str">
        <f>IFERROR(VLOOKUP(1179,Chequeras[],2,FALSE),"BORRADO")</f>
        <v>BORRADO</v>
      </c>
      <c r="C241" s="40" t="str">
        <f>IFERROR(VLOOKUP(1179,Chequeras[],3,FALSE),"BORRADO")</f>
        <v>BORRADO</v>
      </c>
      <c r="D241" s="41" t="str">
        <f>IFERROR(VLOOKUP(1179,Chequeras[],4,FALSE),"BORRADO")</f>
        <v>BORRADO</v>
      </c>
      <c r="E241" s="42" t="str">
        <f>IFERROR(VLOOKUP(1179,Chequeras[],5,FALSE),"BORRADO")</f>
        <v>BORRADO</v>
      </c>
      <c r="F241" s="41" t="str">
        <f>IFERROR(VLOOKUP(1179,Chequeras[],6,FALSE),"BORRADO")</f>
        <v>BORRADO</v>
      </c>
      <c r="G241" s="40" t="str">
        <f>IFERROR(VLOOKUP(1179,Chequeras[],7,FALSE),"BORRADO")</f>
        <v>BORRADO</v>
      </c>
      <c r="H241" s="40" t="str">
        <f>IFERROR(VLOOKUP(1179,Chequeras[],8,FALSE),"BORRADO")</f>
        <v>BORRADO</v>
      </c>
      <c r="I241" s="40" t="str">
        <f>IFERROR(VLOOKUP(1179,Chequeras[],9,FALSE),"BORRADO")</f>
        <v>BORRADO</v>
      </c>
    </row>
    <row r="242" spans="1:9">
      <c r="A242" s="38" t="s">
        <v>353</v>
      </c>
      <c r="B242" s="39" t="str">
        <f>IFERROR(VLOOKUP(1180,Chequeras[],2,FALSE),"BORRADO")</f>
        <v>BORRADO</v>
      </c>
      <c r="C242" s="40" t="str">
        <f>IFERROR(VLOOKUP(1180,Chequeras[],3,FALSE),"BORRADO")</f>
        <v>BORRADO</v>
      </c>
      <c r="D242" s="41" t="str">
        <f>IFERROR(VLOOKUP(1180,Chequeras[],4,FALSE),"BORRADO")</f>
        <v>BORRADO</v>
      </c>
      <c r="E242" s="42" t="str">
        <f>IFERROR(VLOOKUP(1180,Chequeras[],5,FALSE),"BORRADO")</f>
        <v>BORRADO</v>
      </c>
      <c r="F242" s="41" t="str">
        <f>IFERROR(VLOOKUP(1180,Chequeras[],6,FALSE),"BORRADO")</f>
        <v>BORRADO</v>
      </c>
      <c r="G242" s="40" t="str">
        <f>IFERROR(VLOOKUP(1180,Chequeras[],7,FALSE),"BORRADO")</f>
        <v>BORRADO</v>
      </c>
      <c r="H242" s="40" t="str">
        <f>IFERROR(VLOOKUP(1180,Chequeras[],8,FALSE),"BORRADO")</f>
        <v>BORRADO</v>
      </c>
      <c r="I242" s="40" t="str">
        <f>IFERROR(VLOOKUP(1180,Chequeras[],9,FALSE),"BORRADO")</f>
        <v>BORRADO</v>
      </c>
    </row>
    <row r="243" spans="1:9">
      <c r="A243" s="38" t="s">
        <v>353</v>
      </c>
      <c r="B243" s="39">
        <f>IFERROR(VLOOKUP(2131,Chequeras[],2,FALSE),"BORRADO")</f>
        <v>42989</v>
      </c>
      <c r="C243" s="40" t="str">
        <f>IFERROR(VLOOKUP(2131,Chequeras[],3,FALSE),"BORRADO")</f>
        <v>01670196</v>
      </c>
      <c r="D243" s="41">
        <f>IFERROR(VLOOKUP(2131,Chequeras[],4,FALSE),"BORRADO")</f>
        <v>0</v>
      </c>
      <c r="E243" s="42">
        <f>IFERROR(VLOOKUP(2131,Chequeras[],5,FALSE),"BORRADO")</f>
        <v>42989</v>
      </c>
      <c r="F243" s="41">
        <f ca="1">IFERROR(VLOOKUP(2131,Chequeras[],6,FALSE),"BORRADO")</f>
        <v>0</v>
      </c>
      <c r="G243" s="40" t="str">
        <f>IFERROR(VLOOKUP(2131,Chequeras[],7,FALSE),"BORRADO")</f>
        <v>Anulado</v>
      </c>
      <c r="H243" s="40" t="str">
        <f>IFERROR(VLOOKUP(2131,Chequeras[],8,FALSE),"BORRADO")</f>
        <v>lh</v>
      </c>
      <c r="I243" s="40">
        <f>IFERROR(VLOOKUP(2131,Chequeras[],9,FALSE),"BORRADO")</f>
        <v>94</v>
      </c>
    </row>
    <row r="244" spans="1:9">
      <c r="A244" s="38" t="s">
        <v>354</v>
      </c>
      <c r="B244" s="39">
        <f>IFERROR(VLOOKUP(3180,Depositos[],2,FALSE),"BORRADO")</f>
        <v>42989</v>
      </c>
      <c r="C244" s="40" t="str">
        <f>IFERROR(VLOOKUP(3180,Depositos[],3,FALSE),"BORRADO")</f>
        <v>EFECTIVO</v>
      </c>
      <c r="D244" s="41">
        <f>IFERROR(VLOOKUP(3180,Depositos[],4,FALSE),"BORRADO")</f>
        <v>140000</v>
      </c>
      <c r="E244" s="42">
        <f>IFERROR(VLOOKUP(3180,Depositos[],5,FALSE),"BORRADO")</f>
        <v>42989</v>
      </c>
      <c r="F244" s="41">
        <f ca="1">IFERROR(VLOOKUP(3180,Depositos[],6,FALSE),"BORRADO")</f>
        <v>42318</v>
      </c>
      <c r="G244" s="40" t="str">
        <f>IFERROR(VLOOKUP(3180,Depositos[],7,FALSE),"BORRADO")</f>
        <v>EFECTIVO RR</v>
      </c>
      <c r="H244" s="40">
        <f>IFERROR(VLOOKUP(3180,Depositos[],8,FALSE),"BORRADO")</f>
        <v>0</v>
      </c>
      <c r="I244" s="40">
        <f>IFERROR(VLOOKUP(3180,Depositos[],9,FALSE),"BORRADO")</f>
        <v>0</v>
      </c>
    </row>
    <row r="245" spans="1:9">
      <c r="A245" s="38" t="s">
        <v>354</v>
      </c>
      <c r="B245" s="39">
        <f>IFERROR(VLOOKUP(3181,Depositos[],2,FALSE),"BORRADO")</f>
        <v>42989</v>
      </c>
      <c r="C245" s="40" t="str">
        <f>IFERROR(VLOOKUP(3181,Depositos[],3,FALSE),"BORRADO")</f>
        <v>EFECTIVO</v>
      </c>
      <c r="D245" s="41">
        <f>IFERROR(VLOOKUP(3181,Depositos[],4,FALSE),"BORRADO")</f>
        <v>50000</v>
      </c>
      <c r="E245" s="42">
        <f>IFERROR(VLOOKUP(3181,Depositos[],5,FALSE),"BORRADO")</f>
        <v>42989</v>
      </c>
      <c r="F245" s="41">
        <f ca="1">IFERROR(VLOOKUP(3181,Depositos[],6,FALSE),"BORRADO")</f>
        <v>28047</v>
      </c>
      <c r="G245" s="40" t="str">
        <f>IFERROR(VLOOKUP(3181,Depositos[],7,FALSE),"BORRADO")</f>
        <v>EFECTIVO RR</v>
      </c>
      <c r="H245" s="40">
        <f>IFERROR(VLOOKUP(3181,Depositos[],8,FALSE),"BORRADO")</f>
        <v>0</v>
      </c>
      <c r="I245" s="40">
        <f>IFERROR(VLOOKUP(3181,Depositos[],9,FALSE),"BORRADO")</f>
        <v>0</v>
      </c>
    </row>
    <row r="246" spans="1:9">
      <c r="A246" s="38" t="s">
        <v>354</v>
      </c>
      <c r="B246" s="39">
        <f>IFERROR(VLOOKUP(3182,Depositos[],2,FALSE),"BORRADO")</f>
        <v>42989</v>
      </c>
      <c r="C246" s="40" t="str">
        <f>IFERROR(VLOOKUP(3182,Depositos[],3,FALSE),"BORRADO")</f>
        <v>SUELDO</v>
      </c>
      <c r="D246" s="41">
        <f>IFERROR(VLOOKUP(3182,Depositos[],4,FALSE),"BORRADO")</f>
        <v>39427.800000000003</v>
      </c>
      <c r="E246" s="42">
        <f>IFERROR(VLOOKUP(3182,Depositos[],5,FALSE),"BORRADO")</f>
        <v>42989</v>
      </c>
      <c r="F246" s="41">
        <f ca="1">IFERROR(VLOOKUP(3182,Depositos[],6,FALSE),"BORRADO")</f>
        <v>13949</v>
      </c>
      <c r="G246" s="40" t="str">
        <f>IFERROR(VLOOKUP(3182,Depositos[],7,FALSE),"BORRADO")</f>
        <v>AGO/17 Y RETROACT.ENE/17</v>
      </c>
      <c r="H246" s="40">
        <f>IFERROR(VLOOKUP(3182,Depositos[],8,FALSE),"BORRADO")</f>
        <v>0</v>
      </c>
      <c r="I246" s="40">
        <f>IFERROR(VLOOKUP(3182,Depositos[],9,FALSE),"BORRADO")</f>
        <v>0</v>
      </c>
    </row>
    <row r="247" spans="1:9">
      <c r="A247" s="38" t="s">
        <v>355</v>
      </c>
      <c r="B247" s="39" t="str">
        <f>IFERROR(VLOOKUP(9563,Gastos[],2,FALSE),"BORRADO")</f>
        <v>BORRADO</v>
      </c>
      <c r="C247" s="40" t="str">
        <f>IFERROR(VLOOKUP(9563,Gastos[],3,FALSE),"BORRADO")</f>
        <v>BORRADO</v>
      </c>
      <c r="D247" s="41" t="str">
        <f>IFERROR(VLOOKUP(9563,Gastos[],4,FALSE),"BORRADO")</f>
        <v>BORRADO</v>
      </c>
      <c r="E247" s="42" t="str">
        <f>IFERROR(VLOOKUP(9563,Gastos[],5,FALSE),"BORRADO")</f>
        <v>BORRADO</v>
      </c>
      <c r="F247" s="41" t="str">
        <f>IFERROR(VLOOKUP(9563,Gastos[],6,FALSE),"BORRADO")</f>
        <v>BORRADO</v>
      </c>
      <c r="G247" s="40" t="str">
        <f>IFERROR(VLOOKUP(9563,Gastos[],7,FALSE),"BORRADO")</f>
        <v>BORRADO</v>
      </c>
      <c r="H247" s="40" t="str">
        <f>IFERROR(VLOOKUP(9563,Gastos[],8,FALSE),"BORRADO")</f>
        <v>BORRADO</v>
      </c>
      <c r="I247" s="40" t="str">
        <f>IFERROR(VLOOKUP(9563,Gastos[],9,FALSE),"BORRADO")</f>
        <v>BORRADO</v>
      </c>
    </row>
    <row r="248" spans="1:9">
      <c r="A248" s="38" t="s">
        <v>355</v>
      </c>
      <c r="B248" s="39" t="str">
        <f>IFERROR(VLOOKUP(9564,Gastos[],2,FALSE),"BORRADO")</f>
        <v>BORRADO</v>
      </c>
      <c r="C248" s="40" t="str">
        <f>IFERROR(VLOOKUP(9564,Gastos[],3,FALSE),"BORRADO")</f>
        <v>BORRADO</v>
      </c>
      <c r="D248" s="41" t="str">
        <f>IFERROR(VLOOKUP(9564,Gastos[],4,FALSE),"BORRADO")</f>
        <v>BORRADO</v>
      </c>
      <c r="E248" s="42" t="str">
        <f>IFERROR(VLOOKUP(9564,Gastos[],5,FALSE),"BORRADO")</f>
        <v>BORRADO</v>
      </c>
      <c r="F248" s="41" t="str">
        <f>IFERROR(VLOOKUP(9564,Gastos[],6,FALSE),"BORRADO")</f>
        <v>BORRADO</v>
      </c>
      <c r="G248" s="40" t="str">
        <f>IFERROR(VLOOKUP(9564,Gastos[],7,FALSE),"BORRADO")</f>
        <v>BORRADO</v>
      </c>
      <c r="H248" s="40" t="str">
        <f>IFERROR(VLOOKUP(9564,Gastos[],8,FALSE),"BORRADO")</f>
        <v>BORRADO</v>
      </c>
      <c r="I248" s="40" t="str">
        <f>IFERROR(VLOOKUP(9564,Gastos[],9,FALSE),"BORRADO")</f>
        <v>BORRADO</v>
      </c>
    </row>
    <row r="249" spans="1:9">
      <c r="A249" s="38" t="s">
        <v>355</v>
      </c>
      <c r="B249" s="39" t="str">
        <f>IFERROR(VLOOKUP(9565,Gastos[],2,FALSE),"BORRADO")</f>
        <v>BORRADO</v>
      </c>
      <c r="C249" s="40" t="str">
        <f>IFERROR(VLOOKUP(9565,Gastos[],3,FALSE),"BORRADO")</f>
        <v>BORRADO</v>
      </c>
      <c r="D249" s="41" t="str">
        <f>IFERROR(VLOOKUP(9565,Gastos[],4,FALSE),"BORRADO")</f>
        <v>BORRADO</v>
      </c>
      <c r="E249" s="42" t="str">
        <f>IFERROR(VLOOKUP(9565,Gastos[],5,FALSE),"BORRADO")</f>
        <v>BORRADO</v>
      </c>
      <c r="F249" s="41" t="str">
        <f>IFERROR(VLOOKUP(9565,Gastos[],6,FALSE),"BORRADO")</f>
        <v>BORRADO</v>
      </c>
      <c r="G249" s="40" t="str">
        <f>IFERROR(VLOOKUP(9565,Gastos[],7,FALSE),"BORRADO")</f>
        <v>BORRADO</v>
      </c>
      <c r="H249" s="40" t="str">
        <f>IFERROR(VLOOKUP(9565,Gastos[],8,FALSE),"BORRADO")</f>
        <v>BORRADO</v>
      </c>
      <c r="I249" s="40" t="str">
        <f>IFERROR(VLOOKUP(9565,Gastos[],9,FALSE),"BORRADO")</f>
        <v>BORRADO</v>
      </c>
    </row>
    <row r="250" spans="1:9">
      <c r="A250" s="38" t="s">
        <v>355</v>
      </c>
      <c r="B250" s="39" t="str">
        <f>IFERROR(VLOOKUP(9566,Gastos[],2,FALSE),"BORRADO")</f>
        <v>BORRADO</v>
      </c>
      <c r="C250" s="40" t="str">
        <f>IFERROR(VLOOKUP(9566,Gastos[],3,FALSE),"BORRADO")</f>
        <v>BORRADO</v>
      </c>
      <c r="D250" s="41" t="str">
        <f>IFERROR(VLOOKUP(9566,Gastos[],4,FALSE),"BORRADO")</f>
        <v>BORRADO</v>
      </c>
      <c r="E250" s="42" t="str">
        <f>IFERROR(VLOOKUP(9566,Gastos[],5,FALSE),"BORRADO")</f>
        <v>BORRADO</v>
      </c>
      <c r="F250" s="41" t="str">
        <f>IFERROR(VLOOKUP(9566,Gastos[],6,FALSE),"BORRADO")</f>
        <v>BORRADO</v>
      </c>
      <c r="G250" s="40" t="str">
        <f>IFERROR(VLOOKUP(9566,Gastos[],7,FALSE),"BORRADO")</f>
        <v>BORRADO</v>
      </c>
      <c r="H250" s="40" t="str">
        <f>IFERROR(VLOOKUP(9566,Gastos[],8,FALSE),"BORRADO")</f>
        <v>BORRADO</v>
      </c>
      <c r="I250" s="40" t="str">
        <f>IFERROR(VLOOKUP(9566,Gastos[],9,FALSE),"BORRADO")</f>
        <v>BORRADO</v>
      </c>
    </row>
    <row r="251" spans="1:9">
      <c r="A251" s="38" t="s">
        <v>355</v>
      </c>
      <c r="B251" s="39" t="str">
        <f>IFERROR(VLOOKUP(9567,Gastos[],2,FALSE),"BORRADO")</f>
        <v>BORRADO</v>
      </c>
      <c r="C251" s="40" t="str">
        <f>IFERROR(VLOOKUP(9567,Gastos[],3,FALSE),"BORRADO")</f>
        <v>BORRADO</v>
      </c>
      <c r="D251" s="41" t="str">
        <f>IFERROR(VLOOKUP(9567,Gastos[],4,FALSE),"BORRADO")</f>
        <v>BORRADO</v>
      </c>
      <c r="E251" s="42" t="str">
        <f>IFERROR(VLOOKUP(9567,Gastos[],5,FALSE),"BORRADO")</f>
        <v>BORRADO</v>
      </c>
      <c r="F251" s="41" t="str">
        <f>IFERROR(VLOOKUP(9567,Gastos[],6,FALSE),"BORRADO")</f>
        <v>BORRADO</v>
      </c>
      <c r="G251" s="40" t="str">
        <f>IFERROR(VLOOKUP(9567,Gastos[],7,FALSE),"BORRADO")</f>
        <v>BORRADO</v>
      </c>
      <c r="H251" s="40" t="str">
        <f>IFERROR(VLOOKUP(9567,Gastos[],8,FALSE),"BORRADO")</f>
        <v>BORRADO</v>
      </c>
      <c r="I251" s="40" t="str">
        <f>IFERROR(VLOOKUP(9567,Gastos[],9,FALSE),"BORRADO")</f>
        <v>BORRADO</v>
      </c>
    </row>
    <row r="252" spans="1:9">
      <c r="A252" s="38" t="s">
        <v>355</v>
      </c>
      <c r="B252" s="39" t="str">
        <f>IFERROR(VLOOKUP(9568,Gastos[],2,FALSE),"BORRADO")</f>
        <v>BORRADO</v>
      </c>
      <c r="C252" s="40" t="str">
        <f>IFERROR(VLOOKUP(9568,Gastos[],3,FALSE),"BORRADO")</f>
        <v>BORRADO</v>
      </c>
      <c r="D252" s="41" t="str">
        <f>IFERROR(VLOOKUP(9568,Gastos[],4,FALSE),"BORRADO")</f>
        <v>BORRADO</v>
      </c>
      <c r="E252" s="42" t="str">
        <f>IFERROR(VLOOKUP(9568,Gastos[],5,FALSE),"BORRADO")</f>
        <v>BORRADO</v>
      </c>
      <c r="F252" s="41" t="str">
        <f>IFERROR(VLOOKUP(9568,Gastos[],6,FALSE),"BORRADO")</f>
        <v>BORRADO</v>
      </c>
      <c r="G252" s="40" t="str">
        <f>IFERROR(VLOOKUP(9568,Gastos[],7,FALSE),"BORRADO")</f>
        <v>BORRADO</v>
      </c>
      <c r="H252" s="40" t="str">
        <f>IFERROR(VLOOKUP(9568,Gastos[],8,FALSE),"BORRADO")</f>
        <v>BORRADO</v>
      </c>
      <c r="I252" s="40" t="str">
        <f>IFERROR(VLOOKUP(9568,Gastos[],9,FALSE),"BORRADO")</f>
        <v>BORRADO</v>
      </c>
    </row>
    <row r="253" spans="1:9">
      <c r="A253" s="38" t="s">
        <v>355</v>
      </c>
      <c r="B253" s="39" t="str">
        <f>IFERROR(VLOOKUP(9569,Gastos[],2,FALSE),"BORRADO")</f>
        <v>BORRADO</v>
      </c>
      <c r="C253" s="40" t="str">
        <f>IFERROR(VLOOKUP(9569,Gastos[],3,FALSE),"BORRADO")</f>
        <v>BORRADO</v>
      </c>
      <c r="D253" s="41" t="str">
        <f>IFERROR(VLOOKUP(9569,Gastos[],4,FALSE),"BORRADO")</f>
        <v>BORRADO</v>
      </c>
      <c r="E253" s="42" t="str">
        <f>IFERROR(VLOOKUP(9569,Gastos[],5,FALSE),"BORRADO")</f>
        <v>BORRADO</v>
      </c>
      <c r="F253" s="41" t="str">
        <f>IFERROR(VLOOKUP(9569,Gastos[],6,FALSE),"BORRADO")</f>
        <v>BORRADO</v>
      </c>
      <c r="G253" s="40" t="str">
        <f>IFERROR(VLOOKUP(9569,Gastos[],7,FALSE),"BORRADO")</f>
        <v>BORRADO</v>
      </c>
      <c r="H253" s="40" t="str">
        <f>IFERROR(VLOOKUP(9569,Gastos[],8,FALSE),"BORRADO")</f>
        <v>BORRADO</v>
      </c>
      <c r="I253" s="40" t="str">
        <f>IFERROR(VLOOKUP(9569,Gastos[],9,FALSE),"BORRADO")</f>
        <v>BORRADO</v>
      </c>
    </row>
    <row r="254" spans="1:9">
      <c r="A254" s="38" t="s">
        <v>355</v>
      </c>
      <c r="B254" s="39" t="str">
        <f>IFERROR(VLOOKUP(9570,Gastos[],2,FALSE),"BORRADO")</f>
        <v>BORRADO</v>
      </c>
      <c r="C254" s="40" t="str">
        <f>IFERROR(VLOOKUP(9570,Gastos[],3,FALSE),"BORRADO")</f>
        <v>BORRADO</v>
      </c>
      <c r="D254" s="41" t="str">
        <f>IFERROR(VLOOKUP(9570,Gastos[],4,FALSE),"BORRADO")</f>
        <v>BORRADO</v>
      </c>
      <c r="E254" s="42" t="str">
        <f>IFERROR(VLOOKUP(9570,Gastos[],5,FALSE),"BORRADO")</f>
        <v>BORRADO</v>
      </c>
      <c r="F254" s="41" t="str">
        <f>IFERROR(VLOOKUP(9570,Gastos[],6,FALSE),"BORRADO")</f>
        <v>BORRADO</v>
      </c>
      <c r="G254" s="40" t="str">
        <f>IFERROR(VLOOKUP(9570,Gastos[],7,FALSE),"BORRADO")</f>
        <v>BORRADO</v>
      </c>
      <c r="H254" s="40" t="str">
        <f>IFERROR(VLOOKUP(9570,Gastos[],8,FALSE),"BORRADO")</f>
        <v>BORRADO</v>
      </c>
      <c r="I254" s="40" t="str">
        <f>IFERROR(VLOOKUP(9570,Gastos[],9,FALSE),"BORRADO")</f>
        <v>BORRADO</v>
      </c>
    </row>
    <row r="255" spans="1:9">
      <c r="A255" s="38" t="s">
        <v>355</v>
      </c>
      <c r="B255" s="39" t="str">
        <f>IFERROR(VLOOKUP(9571,Gastos[],2,FALSE),"BORRADO")</f>
        <v>BORRADO</v>
      </c>
      <c r="C255" s="40" t="str">
        <f>IFERROR(VLOOKUP(9571,Gastos[],3,FALSE),"BORRADO")</f>
        <v>BORRADO</v>
      </c>
      <c r="D255" s="41" t="str">
        <f>IFERROR(VLOOKUP(9571,Gastos[],4,FALSE),"BORRADO")</f>
        <v>BORRADO</v>
      </c>
      <c r="E255" s="42" t="str">
        <f>IFERROR(VLOOKUP(9571,Gastos[],5,FALSE),"BORRADO")</f>
        <v>BORRADO</v>
      </c>
      <c r="F255" s="41" t="str">
        <f>IFERROR(VLOOKUP(9571,Gastos[],6,FALSE),"BORRADO")</f>
        <v>BORRADO</v>
      </c>
      <c r="G255" s="40" t="str">
        <f>IFERROR(VLOOKUP(9571,Gastos[],7,FALSE),"BORRADO")</f>
        <v>BORRADO</v>
      </c>
      <c r="H255" s="40" t="str">
        <f>IFERROR(VLOOKUP(9571,Gastos[],8,FALSE),"BORRADO")</f>
        <v>BORRADO</v>
      </c>
      <c r="I255" s="40" t="str">
        <f>IFERROR(VLOOKUP(9571,Gastos[],9,FALSE),"BORRADO")</f>
        <v>BORRADO</v>
      </c>
    </row>
    <row r="256" spans="1:9">
      <c r="A256" s="38" t="s">
        <v>355</v>
      </c>
      <c r="B256" s="39" t="str">
        <f>IFERROR(VLOOKUP(9572,Gastos[],2,FALSE),"BORRADO")</f>
        <v>BORRADO</v>
      </c>
      <c r="C256" s="40" t="str">
        <f>IFERROR(VLOOKUP(9572,Gastos[],3,FALSE),"BORRADO")</f>
        <v>BORRADO</v>
      </c>
      <c r="D256" s="41" t="str">
        <f>IFERROR(VLOOKUP(9572,Gastos[],4,FALSE),"BORRADO")</f>
        <v>BORRADO</v>
      </c>
      <c r="E256" s="42" t="str">
        <f>IFERROR(VLOOKUP(9572,Gastos[],5,FALSE),"BORRADO")</f>
        <v>BORRADO</v>
      </c>
      <c r="F256" s="41" t="str">
        <f>IFERROR(VLOOKUP(9572,Gastos[],6,FALSE),"BORRADO")</f>
        <v>BORRADO</v>
      </c>
      <c r="G256" s="40" t="str">
        <f>IFERROR(VLOOKUP(9572,Gastos[],7,FALSE),"BORRADO")</f>
        <v>BORRADO</v>
      </c>
      <c r="H256" s="40" t="str">
        <f>IFERROR(VLOOKUP(9572,Gastos[],8,FALSE),"BORRADO")</f>
        <v>BORRADO</v>
      </c>
      <c r="I256" s="40" t="str">
        <f>IFERROR(VLOOKUP(9572,Gastos[],9,FALSE),"BORRADO")</f>
        <v>BORRADO</v>
      </c>
    </row>
    <row r="257" spans="1:9">
      <c r="A257" s="38" t="s">
        <v>355</v>
      </c>
      <c r="B257" s="39" t="str">
        <f>IFERROR(VLOOKUP(9573,Gastos[],2,FALSE),"BORRADO")</f>
        <v>BORRADO</v>
      </c>
      <c r="C257" s="40" t="str">
        <f>IFERROR(VLOOKUP(9573,Gastos[],3,FALSE),"BORRADO")</f>
        <v>BORRADO</v>
      </c>
      <c r="D257" s="41" t="str">
        <f>IFERROR(VLOOKUP(9573,Gastos[],4,FALSE),"BORRADO")</f>
        <v>BORRADO</v>
      </c>
      <c r="E257" s="42" t="str">
        <f>IFERROR(VLOOKUP(9573,Gastos[],5,FALSE),"BORRADO")</f>
        <v>BORRADO</v>
      </c>
      <c r="F257" s="41" t="str">
        <f>IFERROR(VLOOKUP(9573,Gastos[],6,FALSE),"BORRADO")</f>
        <v>BORRADO</v>
      </c>
      <c r="G257" s="40" t="str">
        <f>IFERROR(VLOOKUP(9573,Gastos[],7,FALSE),"BORRADO")</f>
        <v>BORRADO</v>
      </c>
      <c r="H257" s="40" t="str">
        <f>IFERROR(VLOOKUP(9573,Gastos[],8,FALSE),"BORRADO")</f>
        <v>BORRADO</v>
      </c>
      <c r="I257" s="40" t="str">
        <f>IFERROR(VLOOKUP(9573,Gastos[],9,FALSE),"BORRADO")</f>
        <v>BORRADO</v>
      </c>
    </row>
    <row r="258" spans="1:9">
      <c r="A258" s="38" t="s">
        <v>354</v>
      </c>
      <c r="B258" s="39">
        <f>IFERROR(VLOOKUP(3175,Depositos[],2,FALSE),"BORRADO")</f>
        <v>42989</v>
      </c>
      <c r="C258" s="40" t="str">
        <f>IFERROR(VLOOKUP(3175,Depositos[],3,FALSE),"BORRADO")</f>
        <v>RR CHEQUE</v>
      </c>
      <c r="D258" s="41">
        <f>IFERROR(VLOOKUP(3175,Depositos[],4,FALSE),"BORRADO")</f>
        <v>30000</v>
      </c>
      <c r="E258" s="42">
        <f>IFERROR(VLOOKUP(3175,Depositos[],5,FALSE),"BORRADO")</f>
        <v>42990</v>
      </c>
      <c r="F258" s="41">
        <f ca="1">IFERROR(VLOOKUP(3175,Depositos[],6,FALSE),"BORRADO")</f>
        <v>26864</v>
      </c>
      <c r="G258" s="40" t="str">
        <f>IFERROR(VLOOKUP(3175,Depositos[],7,FALSE),"BORRADO")</f>
        <v>HSBC 54810287 VOLKER H./RR</v>
      </c>
      <c r="H258" s="40">
        <f>IFERROR(VLOOKUP(3175,Depositos[],8,FALSE),"BORRADO")</f>
        <v>0</v>
      </c>
      <c r="I258" s="40">
        <f>IFERROR(VLOOKUP(3175,Depositos[],9,FALSE),"BORRADO")</f>
        <v>0</v>
      </c>
    </row>
    <row r="259" spans="1:9">
      <c r="A259" s="38" t="s">
        <v>354</v>
      </c>
      <c r="B259" s="39">
        <f>IFERROR(VLOOKUP(3176,Depositos[],2,FALSE),"BORRADO")</f>
        <v>42989</v>
      </c>
      <c r="C259" s="40" t="str">
        <f>IFERROR(VLOOKUP(3176,Depositos[],3,FALSE),"BORRADO")</f>
        <v>RR CHEQUE</v>
      </c>
      <c r="D259" s="41">
        <f>IFERROR(VLOOKUP(3176,Depositos[],4,FALSE),"BORRADO")</f>
        <v>453000</v>
      </c>
      <c r="E259" s="42">
        <f>IFERROR(VLOOKUP(3176,Depositos[],5,FALSE),"BORRADO")</f>
        <v>42990</v>
      </c>
      <c r="F259" s="41">
        <f ca="1">IFERROR(VLOOKUP(3176,Depositos[],6,FALSE),"BORRADO")</f>
        <v>169279</v>
      </c>
      <c r="G259" s="40" t="str">
        <f>IFERROR(VLOOKUP(3176,Depositos[],7,FALSE),"BORRADO")</f>
        <v>MACRO 74565874 TRAME/RR</v>
      </c>
      <c r="H259" s="40">
        <f>IFERROR(VLOOKUP(3176,Depositos[],8,FALSE),"BORRADO")</f>
        <v>0</v>
      </c>
      <c r="I259" s="40">
        <f>IFERROR(VLOOKUP(3176,Depositos[],9,FALSE),"BORRADO")</f>
        <v>0</v>
      </c>
    </row>
    <row r="260" spans="1:9">
      <c r="A260" s="38" t="s">
        <v>354</v>
      </c>
      <c r="B260" s="39">
        <f>IFERROR(VLOOKUP(3177,Depositos[],2,FALSE),"BORRADO")</f>
        <v>42989</v>
      </c>
      <c r="C260" s="40" t="str">
        <f>IFERROR(VLOOKUP(3177,Depositos[],3,FALSE),"BORRADO")</f>
        <v>RR CHEQUE</v>
      </c>
      <c r="D260" s="41">
        <f>IFERROR(VLOOKUP(3177,Depositos[],4,FALSE),"BORRADO")</f>
        <v>35542.639999999999</v>
      </c>
      <c r="E260" s="42">
        <f>IFERROR(VLOOKUP(3177,Depositos[],5,FALSE),"BORRADO")</f>
        <v>42990</v>
      </c>
      <c r="F260" s="41">
        <f ca="1">IFERROR(VLOOKUP(3177,Depositos[],6,FALSE),"BORRADO")</f>
        <v>1414</v>
      </c>
      <c r="G260" s="40" t="str">
        <f>IFERROR(VLOOKUP(3177,Depositos[],7,FALSE),"BORRADO")</f>
        <v>MACRO 33335399 IVUJ/EDITORA</v>
      </c>
      <c r="H260" s="40">
        <f>IFERROR(VLOOKUP(3177,Depositos[],8,FALSE),"BORRADO")</f>
        <v>0</v>
      </c>
      <c r="I260" s="40">
        <f>IFERROR(VLOOKUP(3177,Depositos[],9,FALSE),"BORRADO")</f>
        <v>0</v>
      </c>
    </row>
    <row r="261" spans="1:9">
      <c r="A261" s="38" t="s">
        <v>354</v>
      </c>
      <c r="B261" s="39">
        <f>IFERROR(VLOOKUP(3178,Depositos[],2,FALSE),"BORRADO")</f>
        <v>42989</v>
      </c>
      <c r="C261" s="40" t="str">
        <f>IFERROR(VLOOKUP(3178,Depositos[],3,FALSE),"BORRADO")</f>
        <v>RR CHEQUE</v>
      </c>
      <c r="D261" s="41">
        <f>IFERROR(VLOOKUP(3178,Depositos[],4,FALSE),"BORRADO")</f>
        <v>21471.14</v>
      </c>
      <c r="E261" s="42">
        <f>IFERROR(VLOOKUP(3178,Depositos[],5,FALSE),"BORRADO")</f>
        <v>42990</v>
      </c>
      <c r="F261" s="41">
        <f ca="1">IFERROR(VLOOKUP(3178,Depositos[],6,FALSE),"BORRADO")</f>
        <v>4993</v>
      </c>
      <c r="G261" s="40" t="str">
        <f>IFERROR(VLOOKUP(3178,Depositos[],7,FALSE),"BORRADO")</f>
        <v>MACRO 33335401 IVUJ/EDITORA</v>
      </c>
      <c r="H261" s="40">
        <f>IFERROR(VLOOKUP(3178,Depositos[],8,FALSE),"BORRADO")</f>
        <v>0</v>
      </c>
      <c r="I261" s="40">
        <f>IFERROR(VLOOKUP(3178,Depositos[],9,FALSE),"BORRADO")</f>
        <v>0</v>
      </c>
    </row>
    <row r="262" spans="1:9">
      <c r="A262" s="38" t="s">
        <v>354</v>
      </c>
      <c r="B262" s="39">
        <f>IFERROR(VLOOKUP(3179,Depositos[],2,FALSE),"BORRADO")</f>
        <v>42989</v>
      </c>
      <c r="C262" s="40" t="str">
        <f>IFERROR(VLOOKUP(3179,Depositos[],3,FALSE),"BORRADO")</f>
        <v>RR CHEQUE</v>
      </c>
      <c r="D262" s="41">
        <f>IFERROR(VLOOKUP(3179,Depositos[],4,FALSE),"BORRADO")</f>
        <v>27743.71</v>
      </c>
      <c r="E262" s="42">
        <f>IFERROR(VLOOKUP(3179,Depositos[],5,FALSE),"BORRADO")</f>
        <v>42990</v>
      </c>
      <c r="F262" s="41">
        <f ca="1">IFERROR(VLOOKUP(3179,Depositos[],6,FALSE),"BORRADO")</f>
        <v>23823</v>
      </c>
      <c r="G262" s="40" t="str">
        <f>IFERROR(VLOOKUP(3179,Depositos[],7,FALSE),"BORRADO")</f>
        <v>MACRO 33335396 IVUJ/EDITORA</v>
      </c>
      <c r="H262" s="40">
        <f>IFERROR(VLOOKUP(3179,Depositos[],8,FALSE),"BORRADO")</f>
        <v>0</v>
      </c>
      <c r="I262" s="40">
        <f>IFERROR(VLOOKUP(3179,Depositos[],9,FALSE),"BORRADO")</f>
        <v>0</v>
      </c>
    </row>
    <row r="263" spans="1:9">
      <c r="A263" s="38" t="s">
        <v>353</v>
      </c>
      <c r="B263" s="39" t="str">
        <f>IFERROR(VLOOKUP(1743,Chequeras[],2,FALSE),"BORRADO")</f>
        <v>BORRADO</v>
      </c>
      <c r="C263" s="40" t="str">
        <f>IFERROR(VLOOKUP(1743,Chequeras[],3,FALSE),"BORRADO")</f>
        <v>BORRADO</v>
      </c>
      <c r="D263" s="41" t="str">
        <f>IFERROR(VLOOKUP(1743,Chequeras[],4,FALSE),"BORRADO")</f>
        <v>BORRADO</v>
      </c>
      <c r="E263" s="42" t="str">
        <f>IFERROR(VLOOKUP(1743,Chequeras[],5,FALSE),"BORRADO")</f>
        <v>BORRADO</v>
      </c>
      <c r="F263" s="41" t="str">
        <f>IFERROR(VLOOKUP(1743,Chequeras[],6,FALSE),"BORRADO")</f>
        <v>BORRADO</v>
      </c>
      <c r="G263" s="40" t="str">
        <f>IFERROR(VLOOKUP(1743,Chequeras[],7,FALSE),"BORRADO")</f>
        <v>BORRADO</v>
      </c>
      <c r="H263" s="40" t="str">
        <f>IFERROR(VLOOKUP(1743,Chequeras[],8,FALSE),"BORRADO")</f>
        <v>BORRADO</v>
      </c>
      <c r="I263" s="40" t="str">
        <f>IFERROR(VLOOKUP(1743,Chequeras[],9,FALSE),"BORRADO")</f>
        <v>BORRADO</v>
      </c>
    </row>
    <row r="264" spans="1:9">
      <c r="A264" s="38" t="s">
        <v>353</v>
      </c>
      <c r="B264" s="39">
        <f>IFERROR(VLOOKUP(2119,Chequeras[],2,FALSE),"BORRADO")</f>
        <v>42989</v>
      </c>
      <c r="C264" s="40" t="str">
        <f>IFERROR(VLOOKUP(2119,Chequeras[],3,FALSE),"BORRADO")</f>
        <v>01670184</v>
      </c>
      <c r="D264" s="41">
        <f>IFERROR(VLOOKUP(2119,Chequeras[],4,FALSE),"BORRADO")</f>
        <v>-385880.7</v>
      </c>
      <c r="E264" s="42">
        <f>IFERROR(VLOOKUP(2119,Chequeras[],5,FALSE),"BORRADO")</f>
        <v>42991</v>
      </c>
      <c r="F264" s="41">
        <f ca="1">IFERROR(VLOOKUP(2119,Chequeras[],6,FALSE),"BORRADO")</f>
        <v>57965</v>
      </c>
      <c r="G264" s="40" t="str">
        <f>IFERROR(VLOOKUP(2119,Chequeras[],7,FALSE),"BORRADO")</f>
        <v>F931 Ago/17 12/09/2017</v>
      </c>
      <c r="H264" s="40" t="str">
        <f>IFERROR(VLOOKUP(2119,Chequeras[],8,FALSE),"BORRADO")</f>
        <v>lh</v>
      </c>
      <c r="I264" s="40">
        <f>IFERROR(VLOOKUP(2119,Chequeras[],9,FALSE),"BORRADO")</f>
        <v>94</v>
      </c>
    </row>
    <row r="265" spans="1:9">
      <c r="A265" s="38" t="s">
        <v>353</v>
      </c>
      <c r="B265" s="39">
        <f>IFERROR(VLOOKUP(2120,Chequeras[],2,FALSE),"BORRADO")</f>
        <v>42989</v>
      </c>
      <c r="C265" s="40" t="str">
        <f>IFERROR(VLOOKUP(2120,Chequeras[],3,FALSE),"BORRADO")</f>
        <v>01670185</v>
      </c>
      <c r="D265" s="41">
        <f>IFERROR(VLOOKUP(2120,Chequeras[],4,FALSE),"BORRADO")</f>
        <v>-18464.689999999999</v>
      </c>
      <c r="E265" s="42">
        <f>IFERROR(VLOOKUP(2120,Chequeras[],5,FALSE),"BORRADO")</f>
        <v>42991</v>
      </c>
      <c r="F265" s="41">
        <f ca="1">IFERROR(VLOOKUP(2120,Chequeras[],6,FALSE),"BORRADO")</f>
        <v>6393</v>
      </c>
      <c r="G265" s="40" t="str">
        <f>IFERROR(VLOOKUP(2120,Chequeras[],7,FALSE),"BORRADO")</f>
        <v>Federac.Camioneros Ago/17 12/09/17</v>
      </c>
      <c r="H265" s="40" t="str">
        <f>IFERROR(VLOOKUP(2120,Chequeras[],8,FALSE),"BORRADO")</f>
        <v>lh</v>
      </c>
      <c r="I265" s="40">
        <f>IFERROR(VLOOKUP(2120,Chequeras[],9,FALSE),"BORRADO")</f>
        <v>94</v>
      </c>
    </row>
    <row r="266" spans="1:9">
      <c r="A266" s="38" t="s">
        <v>353</v>
      </c>
      <c r="B266" s="39">
        <f>IFERROR(VLOOKUP(2121,Chequeras[],2,FALSE),"BORRADO")</f>
        <v>42989</v>
      </c>
      <c r="C266" s="40" t="str">
        <f>IFERROR(VLOOKUP(2121,Chequeras[],3,FALSE),"BORRADO")</f>
        <v>01670186</v>
      </c>
      <c r="D266" s="41">
        <f>IFERROR(VLOOKUP(2121,Chequeras[],4,FALSE),"BORRADO")</f>
        <v>-48008.17</v>
      </c>
      <c r="E266" s="42">
        <f>IFERROR(VLOOKUP(2121,Chequeras[],5,FALSE),"BORRADO")</f>
        <v>42991</v>
      </c>
      <c r="F266" s="41">
        <f ca="1">IFERROR(VLOOKUP(2121,Chequeras[],6,FALSE),"BORRADO")</f>
        <v>29597</v>
      </c>
      <c r="G266" s="40" t="str">
        <f>IFERROR(VLOOKUP(2121,Chequeras[],7,FALSE),"BORRADO")</f>
        <v>Sind.Camioneros Ago/17 12/09/17</v>
      </c>
      <c r="H266" s="40" t="str">
        <f>IFERROR(VLOOKUP(2121,Chequeras[],8,FALSE),"BORRADO")</f>
        <v>lh</v>
      </c>
      <c r="I266" s="40">
        <f>IFERROR(VLOOKUP(2121,Chequeras[],9,FALSE),"BORRADO")</f>
        <v>94</v>
      </c>
    </row>
    <row r="267" spans="1:9">
      <c r="A267" s="38" t="s">
        <v>353</v>
      </c>
      <c r="B267" s="39" t="str">
        <f>IFERROR(VLOOKUP(1744,Chequeras[],2,FALSE),"BORRADO")</f>
        <v>BORRADO</v>
      </c>
      <c r="C267" s="40" t="str">
        <f>IFERROR(VLOOKUP(1744,Chequeras[],3,FALSE),"BORRADO")</f>
        <v>BORRADO</v>
      </c>
      <c r="D267" s="41" t="str">
        <f>IFERROR(VLOOKUP(1744,Chequeras[],4,FALSE),"BORRADO")</f>
        <v>BORRADO</v>
      </c>
      <c r="E267" s="42" t="str">
        <f>IFERROR(VLOOKUP(1744,Chequeras[],5,FALSE),"BORRADO")</f>
        <v>BORRADO</v>
      </c>
      <c r="F267" s="41" t="str">
        <f>IFERROR(VLOOKUP(1744,Chequeras[],6,FALSE),"BORRADO")</f>
        <v>BORRADO</v>
      </c>
      <c r="G267" s="40" t="str">
        <f>IFERROR(VLOOKUP(1744,Chequeras[],7,FALSE),"BORRADO")</f>
        <v>BORRADO</v>
      </c>
      <c r="H267" s="40" t="str">
        <f>IFERROR(VLOOKUP(1744,Chequeras[],8,FALSE),"BORRADO")</f>
        <v>BORRADO</v>
      </c>
      <c r="I267" s="40" t="str">
        <f>IFERROR(VLOOKUP(1744,Chequeras[],9,FALSE),"BORRADO")</f>
        <v>BORRADO</v>
      </c>
    </row>
    <row r="268" spans="1:9">
      <c r="A268" s="38" t="s">
        <v>353</v>
      </c>
      <c r="B268" s="39">
        <f>IFERROR(VLOOKUP(2139,Chequeras[],2,FALSE),"BORRADO")</f>
        <v>42989</v>
      </c>
      <c r="C268" s="40" t="str">
        <f>IFERROR(VLOOKUP(2139,Chequeras[],3,FALSE),"BORRADO")</f>
        <v>01670204</v>
      </c>
      <c r="D268" s="41">
        <f>IFERROR(VLOOKUP(2139,Chequeras[],4,FALSE),"BORRADO")</f>
        <v>-6175.91</v>
      </c>
      <c r="E268" s="42">
        <f>IFERROR(VLOOKUP(2139,Chequeras[],5,FALSE),"BORRADO")</f>
        <v>42997</v>
      </c>
      <c r="F268" s="41">
        <f ca="1">IFERROR(VLOOKUP(2139,Chequeras[],6,FALSE),"BORRADO")</f>
        <v>2846</v>
      </c>
      <c r="G268" s="40" t="str">
        <f>IFERROR(VLOOKUP(2139,Chequeras[],7,FALSE),"BORRADO")</f>
        <v>Cons.Aut.Pesados SA 18/09/2017</v>
      </c>
      <c r="H268" s="40" t="str">
        <f>IFERROR(VLOOKUP(2139,Chequeras[],8,FALSE),"BORRADO")</f>
        <v>lh</v>
      </c>
      <c r="I268" s="40">
        <f>IFERROR(VLOOKUP(2139,Chequeras[],9,FALSE),"BORRADO")</f>
        <v>94</v>
      </c>
    </row>
    <row r="269" spans="1:9">
      <c r="A269" s="38" t="s">
        <v>353</v>
      </c>
      <c r="B269" s="39">
        <f>IFERROR(VLOOKUP(2140,Chequeras[],2,FALSE),"BORRADO")</f>
        <v>42989</v>
      </c>
      <c r="C269" s="40" t="str">
        <f>IFERROR(VLOOKUP(2140,Chequeras[],3,FALSE),"BORRADO")</f>
        <v>01670205</v>
      </c>
      <c r="D269" s="41">
        <f>IFERROR(VLOOKUP(2140,Chequeras[],4,FALSE),"BORRADO")</f>
        <v>-8920</v>
      </c>
      <c r="E269" s="42">
        <f>IFERROR(VLOOKUP(2140,Chequeras[],5,FALSE),"BORRADO")</f>
        <v>43020</v>
      </c>
      <c r="F269" s="41">
        <f ca="1">IFERROR(VLOOKUP(2140,Chequeras[],6,FALSE),"BORRADO")</f>
        <v>2815</v>
      </c>
      <c r="G269" s="40" t="str">
        <f>IFERROR(VLOOKUP(2140,Chequeras[],7,FALSE),"BORRADO")</f>
        <v>Acero SRL 11/10/2017</v>
      </c>
      <c r="H269" s="40" t="str">
        <f>IFERROR(VLOOKUP(2140,Chequeras[],8,FALSE),"BORRADO")</f>
        <v>lh</v>
      </c>
      <c r="I269" s="40">
        <f>IFERROR(VLOOKUP(2140,Chequeras[],9,FALSE),"BORRADO")</f>
        <v>94</v>
      </c>
    </row>
    <row r="270" spans="1:9">
      <c r="A270" s="38" t="s">
        <v>353</v>
      </c>
      <c r="B270" s="39">
        <f>IFERROR(VLOOKUP(2142,Chequeras[],2,FALSE),"BORRADO")</f>
        <v>42989</v>
      </c>
      <c r="C270" s="40" t="str">
        <f>IFERROR(VLOOKUP(2142,Chequeras[],3,FALSE),"BORRADO")</f>
        <v>01670207</v>
      </c>
      <c r="D270" s="41">
        <f>IFERROR(VLOOKUP(2142,Chequeras[],4,FALSE),"BORRADO")</f>
        <v>-3000</v>
      </c>
      <c r="E270" s="42">
        <f>IFERROR(VLOOKUP(2142,Chequeras[],5,FALSE),"BORRADO")</f>
        <v>43020</v>
      </c>
      <c r="F270" s="41">
        <f ca="1">IFERROR(VLOOKUP(2142,Chequeras[],6,FALSE),"BORRADO")</f>
        <v>1316</v>
      </c>
      <c r="G270" s="40" t="str">
        <f>IFERROR(VLOOKUP(2142,Chequeras[],7,FALSE),"BORRADO")</f>
        <v>Repuestos Pesados SRL 11/10/2017</v>
      </c>
      <c r="H270" s="40" t="str">
        <f>IFERROR(VLOOKUP(2142,Chequeras[],8,FALSE),"BORRADO")</f>
        <v>lh</v>
      </c>
      <c r="I270" s="40">
        <f>IFERROR(VLOOKUP(2142,Chequeras[],9,FALSE),"BORRADO")</f>
        <v>94</v>
      </c>
    </row>
    <row r="271" spans="1:9">
      <c r="A271" s="38" t="s">
        <v>353</v>
      </c>
      <c r="B271" s="39">
        <f>IFERROR(VLOOKUP(2141,Chequeras[],2,FALSE),"BORRADO")</f>
        <v>42989</v>
      </c>
      <c r="C271" s="40" t="str">
        <f>IFERROR(VLOOKUP(2141,Chequeras[],3,FALSE),"BORRADO")</f>
        <v>01670206</v>
      </c>
      <c r="D271" s="41">
        <f>IFERROR(VLOOKUP(2141,Chequeras[],4,FALSE),"BORRADO")</f>
        <v>-8920</v>
      </c>
      <c r="E271" s="42">
        <f>IFERROR(VLOOKUP(2141,Chequeras[],5,FALSE),"BORRADO")</f>
        <v>43039</v>
      </c>
      <c r="F271" s="41">
        <f ca="1">IFERROR(VLOOKUP(2141,Chequeras[],6,FALSE),"BORRADO")</f>
        <v>3873</v>
      </c>
      <c r="G271" s="40" t="str">
        <f>IFERROR(VLOOKUP(2141,Chequeras[],7,FALSE),"BORRADO")</f>
        <v>Acero SRL</v>
      </c>
      <c r="H271" s="40" t="str">
        <f>IFERROR(VLOOKUP(2141,Chequeras[],8,FALSE),"BORRADO")</f>
        <v>lh</v>
      </c>
      <c r="I271" s="40">
        <f>IFERROR(VLOOKUP(2141,Chequeras[],9,FALSE),"BORRADO")</f>
        <v>94</v>
      </c>
    </row>
    <row r="272" spans="1:9">
      <c r="A272" s="38" t="s">
        <v>354</v>
      </c>
      <c r="B272" s="39">
        <f>IFERROR(VLOOKUP(3173,Depositos[],2,FALSE),"BORRADO")</f>
        <v>42990</v>
      </c>
      <c r="C272" s="40" t="str">
        <f>IFERROR(VLOOKUP(3173,Depositos[],3,FALSE),"BORRADO")</f>
        <v>EFECTIVO</v>
      </c>
      <c r="D272" s="41">
        <f>IFERROR(VLOOKUP(3173,Depositos[],4,FALSE),"BORRADO")</f>
        <v>150000</v>
      </c>
      <c r="E272" s="42">
        <f>IFERROR(VLOOKUP(3173,Depositos[],5,FALSE),"BORRADO")</f>
        <v>42990</v>
      </c>
      <c r="F272" s="41">
        <f ca="1">IFERROR(VLOOKUP(3173,Depositos[],6,FALSE),"BORRADO")</f>
        <v>120885</v>
      </c>
      <c r="G272" s="40">
        <f>IFERROR(VLOOKUP(3173,Depositos[],7,FALSE),"BORRADO")</f>
        <v>0</v>
      </c>
      <c r="H272" s="40">
        <f>IFERROR(VLOOKUP(3173,Depositos[],8,FALSE),"BORRADO")</f>
        <v>0</v>
      </c>
      <c r="I272" s="40">
        <f>IFERROR(VLOOKUP(3173,Depositos[],9,FALSE),"BORRADO")</f>
        <v>0</v>
      </c>
    </row>
    <row r="273" spans="1:9">
      <c r="A273" s="38" t="s">
        <v>354</v>
      </c>
      <c r="B273" s="39">
        <f>IFERROR(VLOOKUP(3174,Depositos[],2,FALSE),"BORRADO")</f>
        <v>42990</v>
      </c>
      <c r="C273" s="40" t="str">
        <f>IFERROR(VLOOKUP(3174,Depositos[],3,FALSE),"BORRADO")</f>
        <v>EFECTIVO</v>
      </c>
      <c r="D273" s="41">
        <f>IFERROR(VLOOKUP(3174,Depositos[],4,FALSE),"BORRADO")</f>
        <v>200000</v>
      </c>
      <c r="E273" s="42">
        <f>IFERROR(VLOOKUP(3174,Depositos[],5,FALSE),"BORRADO")</f>
        <v>42990</v>
      </c>
      <c r="F273" s="41">
        <f ca="1">IFERROR(VLOOKUP(3174,Depositos[],6,FALSE),"BORRADO")</f>
        <v>117439</v>
      </c>
      <c r="G273" s="40" t="str">
        <f>IFERROR(VLOOKUP(3174,Depositos[],7,FALSE),"BORRADO")</f>
        <v>EFECTIVO RR</v>
      </c>
      <c r="H273" s="40">
        <f>IFERROR(VLOOKUP(3174,Depositos[],8,FALSE),"BORRADO")</f>
        <v>0</v>
      </c>
      <c r="I273" s="40">
        <f>IFERROR(VLOOKUP(3174,Depositos[],9,FALSE),"BORRADO")</f>
        <v>0</v>
      </c>
    </row>
    <row r="274" spans="1:9">
      <c r="A274" s="38" t="s">
        <v>355</v>
      </c>
      <c r="B274" s="39" t="str">
        <f>IFERROR(VLOOKUP(9574,Gastos[],2,FALSE),"BORRADO")</f>
        <v>BORRADO</v>
      </c>
      <c r="C274" s="40" t="str">
        <f>IFERROR(VLOOKUP(9574,Gastos[],3,FALSE),"BORRADO")</f>
        <v>BORRADO</v>
      </c>
      <c r="D274" s="41" t="str">
        <f>IFERROR(VLOOKUP(9574,Gastos[],4,FALSE),"BORRADO")</f>
        <v>BORRADO</v>
      </c>
      <c r="E274" s="42" t="str">
        <f>IFERROR(VLOOKUP(9574,Gastos[],5,FALSE),"BORRADO")</f>
        <v>BORRADO</v>
      </c>
      <c r="F274" s="41" t="str">
        <f>IFERROR(VLOOKUP(9574,Gastos[],6,FALSE),"BORRADO")</f>
        <v>BORRADO</v>
      </c>
      <c r="G274" s="40" t="str">
        <f>IFERROR(VLOOKUP(9574,Gastos[],7,FALSE),"BORRADO")</f>
        <v>BORRADO</v>
      </c>
      <c r="H274" s="40" t="str">
        <f>IFERROR(VLOOKUP(9574,Gastos[],8,FALSE),"BORRADO")</f>
        <v>BORRADO</v>
      </c>
      <c r="I274" s="40" t="str">
        <f>IFERROR(VLOOKUP(9574,Gastos[],9,FALSE),"BORRADO")</f>
        <v>BORRADO</v>
      </c>
    </row>
    <row r="275" spans="1:9">
      <c r="A275" s="38" t="s">
        <v>355</v>
      </c>
      <c r="B275" s="39" t="str">
        <f>IFERROR(VLOOKUP(9575,Gastos[],2,FALSE),"BORRADO")</f>
        <v>BORRADO</v>
      </c>
      <c r="C275" s="40" t="str">
        <f>IFERROR(VLOOKUP(9575,Gastos[],3,FALSE),"BORRADO")</f>
        <v>BORRADO</v>
      </c>
      <c r="D275" s="41" t="str">
        <f>IFERROR(VLOOKUP(9575,Gastos[],4,FALSE),"BORRADO")</f>
        <v>BORRADO</v>
      </c>
      <c r="E275" s="42" t="str">
        <f>IFERROR(VLOOKUP(9575,Gastos[],5,FALSE),"BORRADO")</f>
        <v>BORRADO</v>
      </c>
      <c r="F275" s="41" t="str">
        <f>IFERROR(VLOOKUP(9575,Gastos[],6,FALSE),"BORRADO")</f>
        <v>BORRADO</v>
      </c>
      <c r="G275" s="40" t="str">
        <f>IFERROR(VLOOKUP(9575,Gastos[],7,FALSE),"BORRADO")</f>
        <v>BORRADO</v>
      </c>
      <c r="H275" s="40" t="str">
        <f>IFERROR(VLOOKUP(9575,Gastos[],8,FALSE),"BORRADO")</f>
        <v>BORRADO</v>
      </c>
      <c r="I275" s="40" t="str">
        <f>IFERROR(VLOOKUP(9575,Gastos[],9,FALSE),"BORRADO")</f>
        <v>BORRADO</v>
      </c>
    </row>
    <row r="276" spans="1:9">
      <c r="A276" s="38" t="s">
        <v>355</v>
      </c>
      <c r="B276" s="39" t="str">
        <f>IFERROR(VLOOKUP(9576,Gastos[],2,FALSE),"BORRADO")</f>
        <v>BORRADO</v>
      </c>
      <c r="C276" s="40" t="str">
        <f>IFERROR(VLOOKUP(9576,Gastos[],3,FALSE),"BORRADO")</f>
        <v>BORRADO</v>
      </c>
      <c r="D276" s="41" t="str">
        <f>IFERROR(VLOOKUP(9576,Gastos[],4,FALSE),"BORRADO")</f>
        <v>BORRADO</v>
      </c>
      <c r="E276" s="42" t="str">
        <f>IFERROR(VLOOKUP(9576,Gastos[],5,FALSE),"BORRADO")</f>
        <v>BORRADO</v>
      </c>
      <c r="F276" s="41" t="str">
        <f>IFERROR(VLOOKUP(9576,Gastos[],6,FALSE),"BORRADO")</f>
        <v>BORRADO</v>
      </c>
      <c r="G276" s="40" t="str">
        <f>IFERROR(VLOOKUP(9576,Gastos[],7,FALSE),"BORRADO")</f>
        <v>BORRADO</v>
      </c>
      <c r="H276" s="40" t="str">
        <f>IFERROR(VLOOKUP(9576,Gastos[],8,FALSE),"BORRADO")</f>
        <v>BORRADO</v>
      </c>
      <c r="I276" s="40" t="str">
        <f>IFERROR(VLOOKUP(9576,Gastos[],9,FALSE),"BORRADO")</f>
        <v>BORRADO</v>
      </c>
    </row>
    <row r="277" spans="1:9">
      <c r="A277" s="38" t="s">
        <v>355</v>
      </c>
      <c r="B277" s="39" t="str">
        <f>IFERROR(VLOOKUP(9577,Gastos[],2,FALSE),"BORRADO")</f>
        <v>BORRADO</v>
      </c>
      <c r="C277" s="40" t="str">
        <f>IFERROR(VLOOKUP(9577,Gastos[],3,FALSE),"BORRADO")</f>
        <v>BORRADO</v>
      </c>
      <c r="D277" s="41" t="str">
        <f>IFERROR(VLOOKUP(9577,Gastos[],4,FALSE),"BORRADO")</f>
        <v>BORRADO</v>
      </c>
      <c r="E277" s="42" t="str">
        <f>IFERROR(VLOOKUP(9577,Gastos[],5,FALSE),"BORRADO")</f>
        <v>BORRADO</v>
      </c>
      <c r="F277" s="41" t="str">
        <f>IFERROR(VLOOKUP(9577,Gastos[],6,FALSE),"BORRADO")</f>
        <v>BORRADO</v>
      </c>
      <c r="G277" s="40" t="str">
        <f>IFERROR(VLOOKUP(9577,Gastos[],7,FALSE),"BORRADO")</f>
        <v>BORRADO</v>
      </c>
      <c r="H277" s="40" t="str">
        <f>IFERROR(VLOOKUP(9577,Gastos[],8,FALSE),"BORRADO")</f>
        <v>BORRADO</v>
      </c>
      <c r="I277" s="40" t="str">
        <f>IFERROR(VLOOKUP(9577,Gastos[],9,FALSE),"BORRADO")</f>
        <v>BORRADO</v>
      </c>
    </row>
    <row r="278" spans="1:9">
      <c r="A278" s="38" t="s">
        <v>355</v>
      </c>
      <c r="B278" s="39" t="str">
        <f>IFERROR(VLOOKUP(9578,Gastos[],2,FALSE),"BORRADO")</f>
        <v>BORRADO</v>
      </c>
      <c r="C278" s="40" t="str">
        <f>IFERROR(VLOOKUP(9578,Gastos[],3,FALSE),"BORRADO")</f>
        <v>BORRADO</v>
      </c>
      <c r="D278" s="41" t="str">
        <f>IFERROR(VLOOKUP(9578,Gastos[],4,FALSE),"BORRADO")</f>
        <v>BORRADO</v>
      </c>
      <c r="E278" s="42" t="str">
        <f>IFERROR(VLOOKUP(9578,Gastos[],5,FALSE),"BORRADO")</f>
        <v>BORRADO</v>
      </c>
      <c r="F278" s="41" t="str">
        <f>IFERROR(VLOOKUP(9578,Gastos[],6,FALSE),"BORRADO")</f>
        <v>BORRADO</v>
      </c>
      <c r="G278" s="40" t="str">
        <f>IFERROR(VLOOKUP(9578,Gastos[],7,FALSE),"BORRADO")</f>
        <v>BORRADO</v>
      </c>
      <c r="H278" s="40" t="str">
        <f>IFERROR(VLOOKUP(9578,Gastos[],8,FALSE),"BORRADO")</f>
        <v>BORRADO</v>
      </c>
      <c r="I278" s="40" t="str">
        <f>IFERROR(VLOOKUP(9578,Gastos[],9,FALSE),"BORRADO")</f>
        <v>BORRADO</v>
      </c>
    </row>
    <row r="279" spans="1:9">
      <c r="A279" s="38" t="s">
        <v>355</v>
      </c>
      <c r="B279" s="39" t="str">
        <f>IFERROR(VLOOKUP(9579,Gastos[],2,FALSE),"BORRADO")</f>
        <v>BORRADO</v>
      </c>
      <c r="C279" s="40" t="str">
        <f>IFERROR(VLOOKUP(9579,Gastos[],3,FALSE),"BORRADO")</f>
        <v>BORRADO</v>
      </c>
      <c r="D279" s="41" t="str">
        <f>IFERROR(VLOOKUP(9579,Gastos[],4,FALSE),"BORRADO")</f>
        <v>BORRADO</v>
      </c>
      <c r="E279" s="42" t="str">
        <f>IFERROR(VLOOKUP(9579,Gastos[],5,FALSE),"BORRADO")</f>
        <v>BORRADO</v>
      </c>
      <c r="F279" s="41" t="str">
        <f>IFERROR(VLOOKUP(9579,Gastos[],6,FALSE),"BORRADO")</f>
        <v>BORRADO</v>
      </c>
      <c r="G279" s="40" t="str">
        <f>IFERROR(VLOOKUP(9579,Gastos[],7,FALSE),"BORRADO")</f>
        <v>BORRADO</v>
      </c>
      <c r="H279" s="40" t="str">
        <f>IFERROR(VLOOKUP(9579,Gastos[],8,FALSE),"BORRADO")</f>
        <v>BORRADO</v>
      </c>
      <c r="I279" s="40" t="str">
        <f>IFERROR(VLOOKUP(9579,Gastos[],9,FALSE),"BORRADO")</f>
        <v>BORRADO</v>
      </c>
    </row>
    <row r="280" spans="1:9">
      <c r="A280" s="38" t="s">
        <v>355</v>
      </c>
      <c r="B280" s="39" t="str">
        <f>IFERROR(VLOOKUP(9580,Gastos[],2,FALSE),"BORRADO")</f>
        <v>BORRADO</v>
      </c>
      <c r="C280" s="40" t="str">
        <f>IFERROR(VLOOKUP(9580,Gastos[],3,FALSE),"BORRADO")</f>
        <v>BORRADO</v>
      </c>
      <c r="D280" s="41" t="str">
        <f>IFERROR(VLOOKUP(9580,Gastos[],4,FALSE),"BORRADO")</f>
        <v>BORRADO</v>
      </c>
      <c r="E280" s="42" t="str">
        <f>IFERROR(VLOOKUP(9580,Gastos[],5,FALSE),"BORRADO")</f>
        <v>BORRADO</v>
      </c>
      <c r="F280" s="41" t="str">
        <f>IFERROR(VLOOKUP(9580,Gastos[],6,FALSE),"BORRADO")</f>
        <v>BORRADO</v>
      </c>
      <c r="G280" s="40" t="str">
        <f>IFERROR(VLOOKUP(9580,Gastos[],7,FALSE),"BORRADO")</f>
        <v>BORRADO</v>
      </c>
      <c r="H280" s="40" t="str">
        <f>IFERROR(VLOOKUP(9580,Gastos[],8,FALSE),"BORRADO")</f>
        <v>BORRADO</v>
      </c>
      <c r="I280" s="40" t="str">
        <f>IFERROR(VLOOKUP(9580,Gastos[],9,FALSE),"BORRADO")</f>
        <v>BORRADO</v>
      </c>
    </row>
    <row r="281" spans="1:9">
      <c r="A281" s="38" t="s">
        <v>355</v>
      </c>
      <c r="B281" s="39" t="str">
        <f>IFERROR(VLOOKUP(9581,Gastos[],2,FALSE),"BORRADO")</f>
        <v>BORRADO</v>
      </c>
      <c r="C281" s="40" t="str">
        <f>IFERROR(VLOOKUP(9581,Gastos[],3,FALSE),"BORRADO")</f>
        <v>BORRADO</v>
      </c>
      <c r="D281" s="41" t="str">
        <f>IFERROR(VLOOKUP(9581,Gastos[],4,FALSE),"BORRADO")</f>
        <v>BORRADO</v>
      </c>
      <c r="E281" s="42" t="str">
        <f>IFERROR(VLOOKUP(9581,Gastos[],5,FALSE),"BORRADO")</f>
        <v>BORRADO</v>
      </c>
      <c r="F281" s="41" t="str">
        <f>IFERROR(VLOOKUP(9581,Gastos[],6,FALSE),"BORRADO")</f>
        <v>BORRADO</v>
      </c>
      <c r="G281" s="40" t="str">
        <f>IFERROR(VLOOKUP(9581,Gastos[],7,FALSE),"BORRADO")</f>
        <v>BORRADO</v>
      </c>
      <c r="H281" s="40" t="str">
        <f>IFERROR(VLOOKUP(9581,Gastos[],8,FALSE),"BORRADO")</f>
        <v>BORRADO</v>
      </c>
      <c r="I281" s="40" t="str">
        <f>IFERROR(VLOOKUP(9581,Gastos[],9,FALSE),"BORRADO")</f>
        <v>BORRADO</v>
      </c>
    </row>
    <row r="282" spans="1:9">
      <c r="A282" s="38" t="s">
        <v>355</v>
      </c>
      <c r="B282" s="39" t="str">
        <f>IFERROR(VLOOKUP(9582,Gastos[],2,FALSE),"BORRADO")</f>
        <v>BORRADO</v>
      </c>
      <c r="C282" s="40" t="str">
        <f>IFERROR(VLOOKUP(9582,Gastos[],3,FALSE),"BORRADO")</f>
        <v>BORRADO</v>
      </c>
      <c r="D282" s="41" t="str">
        <f>IFERROR(VLOOKUP(9582,Gastos[],4,FALSE),"BORRADO")</f>
        <v>BORRADO</v>
      </c>
      <c r="E282" s="42" t="str">
        <f>IFERROR(VLOOKUP(9582,Gastos[],5,FALSE),"BORRADO")</f>
        <v>BORRADO</v>
      </c>
      <c r="F282" s="41" t="str">
        <f>IFERROR(VLOOKUP(9582,Gastos[],6,FALSE),"BORRADO")</f>
        <v>BORRADO</v>
      </c>
      <c r="G282" s="40" t="str">
        <f>IFERROR(VLOOKUP(9582,Gastos[],7,FALSE),"BORRADO")</f>
        <v>BORRADO</v>
      </c>
      <c r="H282" s="40" t="str">
        <f>IFERROR(VLOOKUP(9582,Gastos[],8,FALSE),"BORRADO")</f>
        <v>BORRADO</v>
      </c>
      <c r="I282" s="40" t="str">
        <f>IFERROR(VLOOKUP(9582,Gastos[],9,FALSE),"BORRADO")</f>
        <v>BORRADO</v>
      </c>
    </row>
    <row r="283" spans="1:9">
      <c r="A283" s="38" t="s">
        <v>355</v>
      </c>
      <c r="B283" s="39" t="str">
        <f>IFERROR(VLOOKUP(9583,Gastos[],2,FALSE),"BORRADO")</f>
        <v>BORRADO</v>
      </c>
      <c r="C283" s="40" t="str">
        <f>IFERROR(VLOOKUP(9583,Gastos[],3,FALSE),"BORRADO")</f>
        <v>BORRADO</v>
      </c>
      <c r="D283" s="41" t="str">
        <f>IFERROR(VLOOKUP(9583,Gastos[],4,FALSE),"BORRADO")</f>
        <v>BORRADO</v>
      </c>
      <c r="E283" s="42" t="str">
        <f>IFERROR(VLOOKUP(9583,Gastos[],5,FALSE),"BORRADO")</f>
        <v>BORRADO</v>
      </c>
      <c r="F283" s="41" t="str">
        <f>IFERROR(VLOOKUP(9583,Gastos[],6,FALSE),"BORRADO")</f>
        <v>BORRADO</v>
      </c>
      <c r="G283" s="40" t="str">
        <f>IFERROR(VLOOKUP(9583,Gastos[],7,FALSE),"BORRADO")</f>
        <v>BORRADO</v>
      </c>
      <c r="H283" s="40" t="str">
        <f>IFERROR(VLOOKUP(9583,Gastos[],8,FALSE),"BORRADO")</f>
        <v>BORRADO</v>
      </c>
      <c r="I283" s="40" t="str">
        <f>IFERROR(VLOOKUP(9583,Gastos[],9,FALSE),"BORRADO")</f>
        <v>BORRADO</v>
      </c>
    </row>
    <row r="284" spans="1:9">
      <c r="A284" s="38" t="s">
        <v>355</v>
      </c>
      <c r="B284" s="39" t="str">
        <f>IFERROR(VLOOKUP(9584,Gastos[],2,FALSE),"BORRADO")</f>
        <v>BORRADO</v>
      </c>
      <c r="C284" s="40" t="str">
        <f>IFERROR(VLOOKUP(9584,Gastos[],3,FALSE),"BORRADO")</f>
        <v>BORRADO</v>
      </c>
      <c r="D284" s="41" t="str">
        <f>IFERROR(VLOOKUP(9584,Gastos[],4,FALSE),"BORRADO")</f>
        <v>BORRADO</v>
      </c>
      <c r="E284" s="42" t="str">
        <f>IFERROR(VLOOKUP(9584,Gastos[],5,FALSE),"BORRADO")</f>
        <v>BORRADO</v>
      </c>
      <c r="F284" s="41" t="str">
        <f>IFERROR(VLOOKUP(9584,Gastos[],6,FALSE),"BORRADO")</f>
        <v>BORRADO</v>
      </c>
      <c r="G284" s="40" t="str">
        <f>IFERROR(VLOOKUP(9584,Gastos[],7,FALSE),"BORRADO")</f>
        <v>BORRADO</v>
      </c>
      <c r="H284" s="40" t="str">
        <f>IFERROR(VLOOKUP(9584,Gastos[],8,FALSE),"BORRADO")</f>
        <v>BORRADO</v>
      </c>
      <c r="I284" s="40" t="str">
        <f>IFERROR(VLOOKUP(9584,Gastos[],9,FALSE),"BORRADO")</f>
        <v>BORRADO</v>
      </c>
    </row>
    <row r="285" spans="1:9">
      <c r="A285" s="38" t="s">
        <v>355</v>
      </c>
      <c r="B285" s="39" t="str">
        <f>IFERROR(VLOOKUP(9585,Gastos[],2,FALSE),"BORRADO")</f>
        <v>BORRADO</v>
      </c>
      <c r="C285" s="40" t="str">
        <f>IFERROR(VLOOKUP(9585,Gastos[],3,FALSE),"BORRADO")</f>
        <v>BORRADO</v>
      </c>
      <c r="D285" s="41" t="str">
        <f>IFERROR(VLOOKUP(9585,Gastos[],4,FALSE),"BORRADO")</f>
        <v>BORRADO</v>
      </c>
      <c r="E285" s="42" t="str">
        <f>IFERROR(VLOOKUP(9585,Gastos[],5,FALSE),"BORRADO")</f>
        <v>BORRADO</v>
      </c>
      <c r="F285" s="41" t="str">
        <f>IFERROR(VLOOKUP(9585,Gastos[],6,FALSE),"BORRADO")</f>
        <v>BORRADO</v>
      </c>
      <c r="G285" s="40" t="str">
        <f>IFERROR(VLOOKUP(9585,Gastos[],7,FALSE),"BORRADO")</f>
        <v>BORRADO</v>
      </c>
      <c r="H285" s="40" t="str">
        <f>IFERROR(VLOOKUP(9585,Gastos[],8,FALSE),"BORRADO")</f>
        <v>BORRADO</v>
      </c>
      <c r="I285" s="40" t="str">
        <f>IFERROR(VLOOKUP(9585,Gastos[],9,FALSE),"BORRADO")</f>
        <v>BORRADO</v>
      </c>
    </row>
    <row r="286" spans="1:9">
      <c r="A286" s="38" t="s">
        <v>355</v>
      </c>
      <c r="B286" s="39" t="str">
        <f>IFERROR(VLOOKUP(9586,Gastos[],2,FALSE),"BORRADO")</f>
        <v>BORRADO</v>
      </c>
      <c r="C286" s="40" t="str">
        <f>IFERROR(VLOOKUP(9586,Gastos[],3,FALSE),"BORRADO")</f>
        <v>BORRADO</v>
      </c>
      <c r="D286" s="41" t="str">
        <f>IFERROR(VLOOKUP(9586,Gastos[],4,FALSE),"BORRADO")</f>
        <v>BORRADO</v>
      </c>
      <c r="E286" s="42" t="str">
        <f>IFERROR(VLOOKUP(9586,Gastos[],5,FALSE),"BORRADO")</f>
        <v>BORRADO</v>
      </c>
      <c r="F286" s="41" t="str">
        <f>IFERROR(VLOOKUP(9586,Gastos[],6,FALSE),"BORRADO")</f>
        <v>BORRADO</v>
      </c>
      <c r="G286" s="40" t="str">
        <f>IFERROR(VLOOKUP(9586,Gastos[],7,FALSE),"BORRADO")</f>
        <v>BORRADO</v>
      </c>
      <c r="H286" s="40" t="str">
        <f>IFERROR(VLOOKUP(9586,Gastos[],8,FALSE),"BORRADO")</f>
        <v>BORRADO</v>
      </c>
      <c r="I286" s="40" t="str">
        <f>IFERROR(VLOOKUP(9586,Gastos[],9,FALSE),"BORRADO")</f>
        <v>BORRADO</v>
      </c>
    </row>
    <row r="287" spans="1:9">
      <c r="A287" s="38" t="s">
        <v>355</v>
      </c>
      <c r="B287" s="39" t="str">
        <f>IFERROR(VLOOKUP(9587,Gastos[],2,FALSE),"BORRADO")</f>
        <v>BORRADO</v>
      </c>
      <c r="C287" s="40" t="str">
        <f>IFERROR(VLOOKUP(9587,Gastos[],3,FALSE),"BORRADO")</f>
        <v>BORRADO</v>
      </c>
      <c r="D287" s="41" t="str">
        <f>IFERROR(VLOOKUP(9587,Gastos[],4,FALSE),"BORRADO")</f>
        <v>BORRADO</v>
      </c>
      <c r="E287" s="42" t="str">
        <f>IFERROR(VLOOKUP(9587,Gastos[],5,FALSE),"BORRADO")</f>
        <v>BORRADO</v>
      </c>
      <c r="F287" s="41" t="str">
        <f>IFERROR(VLOOKUP(9587,Gastos[],6,FALSE),"BORRADO")</f>
        <v>BORRADO</v>
      </c>
      <c r="G287" s="40" t="str">
        <f>IFERROR(VLOOKUP(9587,Gastos[],7,FALSE),"BORRADO")</f>
        <v>BORRADO</v>
      </c>
      <c r="H287" s="40" t="str">
        <f>IFERROR(VLOOKUP(9587,Gastos[],8,FALSE),"BORRADO")</f>
        <v>BORRADO</v>
      </c>
      <c r="I287" s="40" t="str">
        <f>IFERROR(VLOOKUP(9587,Gastos[],9,FALSE),"BORRADO")</f>
        <v>BORRADO</v>
      </c>
    </row>
    <row r="288" spans="1:9">
      <c r="A288" s="38" t="s">
        <v>355</v>
      </c>
      <c r="B288" s="39" t="str">
        <f>IFERROR(VLOOKUP(9588,Gastos[],2,FALSE),"BORRADO")</f>
        <v>BORRADO</v>
      </c>
      <c r="C288" s="40" t="str">
        <f>IFERROR(VLOOKUP(9588,Gastos[],3,FALSE),"BORRADO")</f>
        <v>BORRADO</v>
      </c>
      <c r="D288" s="41" t="str">
        <f>IFERROR(VLOOKUP(9588,Gastos[],4,FALSE),"BORRADO")</f>
        <v>BORRADO</v>
      </c>
      <c r="E288" s="42" t="str">
        <f>IFERROR(VLOOKUP(9588,Gastos[],5,FALSE),"BORRADO")</f>
        <v>BORRADO</v>
      </c>
      <c r="F288" s="41" t="str">
        <f>IFERROR(VLOOKUP(9588,Gastos[],6,FALSE),"BORRADO")</f>
        <v>BORRADO</v>
      </c>
      <c r="G288" s="40" t="str">
        <f>IFERROR(VLOOKUP(9588,Gastos[],7,FALSE),"BORRADO")</f>
        <v>BORRADO</v>
      </c>
      <c r="H288" s="40" t="str">
        <f>IFERROR(VLOOKUP(9588,Gastos[],8,FALSE),"BORRADO")</f>
        <v>BORRADO</v>
      </c>
      <c r="I288" s="40" t="str">
        <f>IFERROR(VLOOKUP(9588,Gastos[],9,FALSE),"BORRADO")</f>
        <v>BORRADO</v>
      </c>
    </row>
    <row r="289" spans="1:9">
      <c r="A289" s="38" t="s">
        <v>355</v>
      </c>
      <c r="B289" s="39" t="str">
        <f>IFERROR(VLOOKUP(9589,Gastos[],2,FALSE),"BORRADO")</f>
        <v>BORRADO</v>
      </c>
      <c r="C289" s="40" t="str">
        <f>IFERROR(VLOOKUP(9589,Gastos[],3,FALSE),"BORRADO")</f>
        <v>BORRADO</v>
      </c>
      <c r="D289" s="41" t="str">
        <f>IFERROR(VLOOKUP(9589,Gastos[],4,FALSE),"BORRADO")</f>
        <v>BORRADO</v>
      </c>
      <c r="E289" s="42" t="str">
        <f>IFERROR(VLOOKUP(9589,Gastos[],5,FALSE),"BORRADO")</f>
        <v>BORRADO</v>
      </c>
      <c r="F289" s="41" t="str">
        <f>IFERROR(VLOOKUP(9589,Gastos[],6,FALSE),"BORRADO")</f>
        <v>BORRADO</v>
      </c>
      <c r="G289" s="40" t="str">
        <f>IFERROR(VLOOKUP(9589,Gastos[],7,FALSE),"BORRADO")</f>
        <v>BORRADO</v>
      </c>
      <c r="H289" s="40" t="str">
        <f>IFERROR(VLOOKUP(9589,Gastos[],8,FALSE),"BORRADO")</f>
        <v>BORRADO</v>
      </c>
      <c r="I289" s="40" t="str">
        <f>IFERROR(VLOOKUP(9589,Gastos[],9,FALSE),"BORRADO")</f>
        <v>BORRADO</v>
      </c>
    </row>
    <row r="290" spans="1:9">
      <c r="A290" s="38" t="s">
        <v>355</v>
      </c>
      <c r="B290" s="39" t="str">
        <f>IFERROR(VLOOKUP(9590,Gastos[],2,FALSE),"BORRADO")</f>
        <v>BORRADO</v>
      </c>
      <c r="C290" s="40" t="str">
        <f>IFERROR(VLOOKUP(9590,Gastos[],3,FALSE),"BORRADO")</f>
        <v>BORRADO</v>
      </c>
      <c r="D290" s="41" t="str">
        <f>IFERROR(VLOOKUP(9590,Gastos[],4,FALSE),"BORRADO")</f>
        <v>BORRADO</v>
      </c>
      <c r="E290" s="42" t="str">
        <f>IFERROR(VLOOKUP(9590,Gastos[],5,FALSE),"BORRADO")</f>
        <v>BORRADO</v>
      </c>
      <c r="F290" s="41" t="str">
        <f>IFERROR(VLOOKUP(9590,Gastos[],6,FALSE),"BORRADO")</f>
        <v>BORRADO</v>
      </c>
      <c r="G290" s="40" t="str">
        <f>IFERROR(VLOOKUP(9590,Gastos[],7,FALSE),"BORRADO")</f>
        <v>BORRADO</v>
      </c>
      <c r="H290" s="40" t="str">
        <f>IFERROR(VLOOKUP(9590,Gastos[],8,FALSE),"BORRADO")</f>
        <v>BORRADO</v>
      </c>
      <c r="I290" s="40" t="str">
        <f>IFERROR(VLOOKUP(9590,Gastos[],9,FALSE),"BORRADO")</f>
        <v>BORRADO</v>
      </c>
    </row>
    <row r="291" spans="1:9">
      <c r="A291" s="38" t="s">
        <v>355</v>
      </c>
      <c r="B291" s="39" t="str">
        <f>IFERROR(VLOOKUP(9591,Gastos[],2,FALSE),"BORRADO")</f>
        <v>BORRADO</v>
      </c>
      <c r="C291" s="40" t="str">
        <f>IFERROR(VLOOKUP(9591,Gastos[],3,FALSE),"BORRADO")</f>
        <v>BORRADO</v>
      </c>
      <c r="D291" s="41" t="str">
        <f>IFERROR(VLOOKUP(9591,Gastos[],4,FALSE),"BORRADO")</f>
        <v>BORRADO</v>
      </c>
      <c r="E291" s="42" t="str">
        <f>IFERROR(VLOOKUP(9591,Gastos[],5,FALSE),"BORRADO")</f>
        <v>BORRADO</v>
      </c>
      <c r="F291" s="41" t="str">
        <f>IFERROR(VLOOKUP(9591,Gastos[],6,FALSE),"BORRADO")</f>
        <v>BORRADO</v>
      </c>
      <c r="G291" s="40" t="str">
        <f>IFERROR(VLOOKUP(9591,Gastos[],7,FALSE),"BORRADO")</f>
        <v>BORRADO</v>
      </c>
      <c r="H291" s="40" t="str">
        <f>IFERROR(VLOOKUP(9591,Gastos[],8,FALSE),"BORRADO")</f>
        <v>BORRADO</v>
      </c>
      <c r="I291" s="40" t="str">
        <f>IFERROR(VLOOKUP(9591,Gastos[],9,FALSE),"BORRADO")</f>
        <v>BORRADO</v>
      </c>
    </row>
    <row r="292" spans="1:9">
      <c r="A292" s="38" t="s">
        <v>355</v>
      </c>
      <c r="B292" s="39" t="str">
        <f>IFERROR(VLOOKUP(9592,Gastos[],2,FALSE),"BORRADO")</f>
        <v>BORRADO</v>
      </c>
      <c r="C292" s="40" t="str">
        <f>IFERROR(VLOOKUP(9592,Gastos[],3,FALSE),"BORRADO")</f>
        <v>BORRADO</v>
      </c>
      <c r="D292" s="41" t="str">
        <f>IFERROR(VLOOKUP(9592,Gastos[],4,FALSE),"BORRADO")</f>
        <v>BORRADO</v>
      </c>
      <c r="E292" s="42" t="str">
        <f>IFERROR(VLOOKUP(9592,Gastos[],5,FALSE),"BORRADO")</f>
        <v>BORRADO</v>
      </c>
      <c r="F292" s="41" t="str">
        <f>IFERROR(VLOOKUP(9592,Gastos[],6,FALSE),"BORRADO")</f>
        <v>BORRADO</v>
      </c>
      <c r="G292" s="40" t="str">
        <f>IFERROR(VLOOKUP(9592,Gastos[],7,FALSE),"BORRADO")</f>
        <v>BORRADO</v>
      </c>
      <c r="H292" s="40" t="str">
        <f>IFERROR(VLOOKUP(9592,Gastos[],8,FALSE),"BORRADO")</f>
        <v>BORRADO</v>
      </c>
      <c r="I292" s="40" t="str">
        <f>IFERROR(VLOOKUP(9592,Gastos[],9,FALSE),"BORRADO")</f>
        <v>BORRADO</v>
      </c>
    </row>
    <row r="293" spans="1:9">
      <c r="A293" s="38" t="s">
        <v>355</v>
      </c>
      <c r="B293" s="39" t="str">
        <f>IFERROR(VLOOKUP(9593,Gastos[],2,FALSE),"BORRADO")</f>
        <v>BORRADO</v>
      </c>
      <c r="C293" s="40" t="str">
        <f>IFERROR(VLOOKUP(9593,Gastos[],3,FALSE),"BORRADO")</f>
        <v>BORRADO</v>
      </c>
      <c r="D293" s="41" t="str">
        <f>IFERROR(VLOOKUP(9593,Gastos[],4,FALSE),"BORRADO")</f>
        <v>BORRADO</v>
      </c>
      <c r="E293" s="42" t="str">
        <f>IFERROR(VLOOKUP(9593,Gastos[],5,FALSE),"BORRADO")</f>
        <v>BORRADO</v>
      </c>
      <c r="F293" s="41" t="str">
        <f>IFERROR(VLOOKUP(9593,Gastos[],6,FALSE),"BORRADO")</f>
        <v>BORRADO</v>
      </c>
      <c r="G293" s="40" t="str">
        <f>IFERROR(VLOOKUP(9593,Gastos[],7,FALSE),"BORRADO")</f>
        <v>BORRADO</v>
      </c>
      <c r="H293" s="40" t="str">
        <f>IFERROR(VLOOKUP(9593,Gastos[],8,FALSE),"BORRADO")</f>
        <v>BORRADO</v>
      </c>
      <c r="I293" s="40" t="str">
        <f>IFERROR(VLOOKUP(9593,Gastos[],9,FALSE),"BORRADO")</f>
        <v>BORRADO</v>
      </c>
    </row>
    <row r="294" spans="1:9">
      <c r="A294" s="38" t="s">
        <v>355</v>
      </c>
      <c r="B294" s="39" t="str">
        <f>IFERROR(VLOOKUP(9594,Gastos[],2,FALSE),"BORRADO")</f>
        <v>BORRADO</v>
      </c>
      <c r="C294" s="40" t="str">
        <f>IFERROR(VLOOKUP(9594,Gastos[],3,FALSE),"BORRADO")</f>
        <v>BORRADO</v>
      </c>
      <c r="D294" s="41" t="str">
        <f>IFERROR(VLOOKUP(9594,Gastos[],4,FALSE),"BORRADO")</f>
        <v>BORRADO</v>
      </c>
      <c r="E294" s="42" t="str">
        <f>IFERROR(VLOOKUP(9594,Gastos[],5,FALSE),"BORRADO")</f>
        <v>BORRADO</v>
      </c>
      <c r="F294" s="41" t="str">
        <f>IFERROR(VLOOKUP(9594,Gastos[],6,FALSE),"BORRADO")</f>
        <v>BORRADO</v>
      </c>
      <c r="G294" s="40" t="str">
        <f>IFERROR(VLOOKUP(9594,Gastos[],7,FALSE),"BORRADO")</f>
        <v>BORRADO</v>
      </c>
      <c r="H294" s="40" t="str">
        <f>IFERROR(VLOOKUP(9594,Gastos[],8,FALSE),"BORRADO")</f>
        <v>BORRADO</v>
      </c>
      <c r="I294" s="40" t="str">
        <f>IFERROR(VLOOKUP(9594,Gastos[],9,FALSE),"BORRADO")</f>
        <v>BORRADO</v>
      </c>
    </row>
    <row r="295" spans="1:9">
      <c r="A295" s="38" t="s">
        <v>354</v>
      </c>
      <c r="B295" s="39">
        <f>IFERROR(VLOOKUP(3183,Depositos[],2,FALSE),"BORRADO")</f>
        <v>42992</v>
      </c>
      <c r="C295" s="40" t="str">
        <f>IFERROR(VLOOKUP(3183,Depositos[],3,FALSE),"BORRADO")</f>
        <v>RR CHEQUE</v>
      </c>
      <c r="D295" s="41">
        <f>IFERROR(VLOOKUP(3183,Depositos[],4,FALSE),"BORRADO")</f>
        <v>176302.5</v>
      </c>
      <c r="E295" s="42">
        <f>IFERROR(VLOOKUP(3183,Depositos[],5,FALSE),"BORRADO")</f>
        <v>42993</v>
      </c>
      <c r="F295" s="41">
        <f ca="1">IFERROR(VLOOKUP(3183,Depositos[],6,FALSE),"BORRADO")</f>
        <v>1697</v>
      </c>
      <c r="G295" s="40" t="str">
        <f>IFERROR(VLOOKUP(3183,Depositos[],7,FALSE),"BORRADO")</f>
        <v>MACRO 51681384</v>
      </c>
      <c r="H295" s="40">
        <f>IFERROR(VLOOKUP(3183,Depositos[],8,FALSE),"BORRADO")</f>
        <v>0</v>
      </c>
      <c r="I295" s="40">
        <f>IFERROR(VLOOKUP(3183,Depositos[],9,FALSE),"BORRADO")</f>
        <v>0</v>
      </c>
    </row>
    <row r="296" spans="1:9">
      <c r="A296" s="38" t="s">
        <v>355</v>
      </c>
      <c r="B296" s="39" t="str">
        <f>IFERROR(VLOOKUP(9595,Gastos[],2,FALSE),"BORRADO")</f>
        <v>BORRADO</v>
      </c>
      <c r="C296" s="40" t="str">
        <f>IFERROR(VLOOKUP(9595,Gastos[],3,FALSE),"BORRADO")</f>
        <v>BORRADO</v>
      </c>
      <c r="D296" s="41" t="str">
        <f>IFERROR(VLOOKUP(9595,Gastos[],4,FALSE),"BORRADO")</f>
        <v>BORRADO</v>
      </c>
      <c r="E296" s="42" t="str">
        <f>IFERROR(VLOOKUP(9595,Gastos[],5,FALSE),"BORRADO")</f>
        <v>BORRADO</v>
      </c>
      <c r="F296" s="41" t="str">
        <f>IFERROR(VLOOKUP(9595,Gastos[],6,FALSE),"BORRADO")</f>
        <v>BORRADO</v>
      </c>
      <c r="G296" s="40" t="str">
        <f>IFERROR(VLOOKUP(9595,Gastos[],7,FALSE),"BORRADO")</f>
        <v>BORRADO</v>
      </c>
      <c r="H296" s="40" t="str">
        <f>IFERROR(VLOOKUP(9595,Gastos[],8,FALSE),"BORRADO")</f>
        <v>BORRADO</v>
      </c>
      <c r="I296" s="40" t="str">
        <f>IFERROR(VLOOKUP(9595,Gastos[],9,FALSE),"BORRADO")</f>
        <v>BORRADO</v>
      </c>
    </row>
    <row r="297" spans="1:9">
      <c r="A297" s="38" t="s">
        <v>354</v>
      </c>
      <c r="B297" s="39">
        <f>IFERROR(VLOOKUP(3184,Depositos[],2,FALSE),"BORRADO")</f>
        <v>42993</v>
      </c>
      <c r="C297" s="40" t="str">
        <f>IFERROR(VLOOKUP(3184,Depositos[],3,FALSE),"BORRADO")</f>
        <v>RR CHEQUE</v>
      </c>
      <c r="D297" s="41">
        <f>IFERROR(VLOOKUP(3184,Depositos[],4,FALSE),"BORRADO")</f>
        <v>140678</v>
      </c>
      <c r="E297" s="42">
        <f>IFERROR(VLOOKUP(3184,Depositos[],5,FALSE),"BORRADO")</f>
        <v>42996</v>
      </c>
      <c r="F297" s="41">
        <f ca="1">IFERROR(VLOOKUP(3184,Depositos[],6,FALSE),"BORRADO")</f>
        <v>104990</v>
      </c>
      <c r="G297" s="40" t="str">
        <f>IFERROR(VLOOKUP(3184,Depositos[],7,FALSE),"BORRADO")</f>
        <v>MACRO 69860716</v>
      </c>
      <c r="H297" s="40">
        <f>IFERROR(VLOOKUP(3184,Depositos[],8,FALSE),"BORRADO")</f>
        <v>0</v>
      </c>
      <c r="I297" s="40">
        <f>IFERROR(VLOOKUP(3184,Depositos[],9,FALSE),"BORRADO")</f>
        <v>0</v>
      </c>
    </row>
    <row r="298" spans="1:9">
      <c r="A298" s="38" t="s">
        <v>353</v>
      </c>
      <c r="B298" s="39" t="str">
        <f>IFERROR(VLOOKUP(1330,Chequeras[],2,FALSE),"BORRADO")</f>
        <v>BORRADO</v>
      </c>
      <c r="C298" s="40" t="str">
        <f>IFERROR(VLOOKUP(1330,Chequeras[],3,FALSE),"BORRADO")</f>
        <v>BORRADO</v>
      </c>
      <c r="D298" s="41" t="str">
        <f>IFERROR(VLOOKUP(1330,Chequeras[],4,FALSE),"BORRADO")</f>
        <v>BORRADO</v>
      </c>
      <c r="E298" s="42" t="str">
        <f>IFERROR(VLOOKUP(1330,Chequeras[],5,FALSE),"BORRADO")</f>
        <v>BORRADO</v>
      </c>
      <c r="F298" s="41" t="str">
        <f>IFERROR(VLOOKUP(1330,Chequeras[],6,FALSE),"BORRADO")</f>
        <v>BORRADO</v>
      </c>
      <c r="G298" s="40" t="str">
        <f>IFERROR(VLOOKUP(1330,Chequeras[],7,FALSE),"BORRADO")</f>
        <v>BORRADO</v>
      </c>
      <c r="H298" s="40" t="str">
        <f>IFERROR(VLOOKUP(1330,Chequeras[],8,FALSE),"BORRADO")</f>
        <v>BORRADO</v>
      </c>
      <c r="I298" s="40" t="str">
        <f>IFERROR(VLOOKUP(1330,Chequeras[],9,FALSE),"BORRADO")</f>
        <v>BORRADO</v>
      </c>
    </row>
    <row r="299" spans="1:9">
      <c r="A299" s="38" t="s">
        <v>355</v>
      </c>
      <c r="B299" s="39" t="str">
        <f>IFERROR(VLOOKUP(9596,Gastos[],2,FALSE),"BORRADO")</f>
        <v>BORRADO</v>
      </c>
      <c r="C299" s="40" t="str">
        <f>IFERROR(VLOOKUP(9596,Gastos[],3,FALSE),"BORRADO")</f>
        <v>BORRADO</v>
      </c>
      <c r="D299" s="41" t="str">
        <f>IFERROR(VLOOKUP(9596,Gastos[],4,FALSE),"BORRADO")</f>
        <v>BORRADO</v>
      </c>
      <c r="E299" s="42" t="str">
        <f>IFERROR(VLOOKUP(9596,Gastos[],5,FALSE),"BORRADO")</f>
        <v>BORRADO</v>
      </c>
      <c r="F299" s="41" t="str">
        <f>IFERROR(VLOOKUP(9596,Gastos[],6,FALSE),"BORRADO")</f>
        <v>BORRADO</v>
      </c>
      <c r="G299" s="40" t="str">
        <f>IFERROR(VLOOKUP(9596,Gastos[],7,FALSE),"BORRADO")</f>
        <v>BORRADO</v>
      </c>
      <c r="H299" s="40" t="str">
        <f>IFERROR(VLOOKUP(9596,Gastos[],8,FALSE),"BORRADO")</f>
        <v>BORRADO</v>
      </c>
      <c r="I299" s="40" t="str">
        <f>IFERROR(VLOOKUP(9596,Gastos[],9,FALSE),"BORRADO")</f>
        <v>BORRADO</v>
      </c>
    </row>
    <row r="300" spans="1:9">
      <c r="A300" s="38" t="s">
        <v>355</v>
      </c>
      <c r="B300" s="39" t="str">
        <f>IFERROR(VLOOKUP(9597,Gastos[],2,FALSE),"BORRADO")</f>
        <v>BORRADO</v>
      </c>
      <c r="C300" s="40" t="str">
        <f>IFERROR(VLOOKUP(9597,Gastos[],3,FALSE),"BORRADO")</f>
        <v>BORRADO</v>
      </c>
      <c r="D300" s="41" t="str">
        <f>IFERROR(VLOOKUP(9597,Gastos[],4,FALSE),"BORRADO")</f>
        <v>BORRADO</v>
      </c>
      <c r="E300" s="42" t="str">
        <f>IFERROR(VLOOKUP(9597,Gastos[],5,FALSE),"BORRADO")</f>
        <v>BORRADO</v>
      </c>
      <c r="F300" s="41" t="str">
        <f>IFERROR(VLOOKUP(9597,Gastos[],6,FALSE),"BORRADO")</f>
        <v>BORRADO</v>
      </c>
      <c r="G300" s="40" t="str">
        <f>IFERROR(VLOOKUP(9597,Gastos[],7,FALSE),"BORRADO")</f>
        <v>BORRADO</v>
      </c>
      <c r="H300" s="40" t="str">
        <f>IFERROR(VLOOKUP(9597,Gastos[],8,FALSE),"BORRADO")</f>
        <v>BORRADO</v>
      </c>
      <c r="I300" s="40" t="str">
        <f>IFERROR(VLOOKUP(9597,Gastos[],9,FALSE),"BORRADO")</f>
        <v>BORRADO</v>
      </c>
    </row>
    <row r="301" spans="1:9">
      <c r="A301" s="38" t="s">
        <v>355</v>
      </c>
      <c r="B301" s="39" t="str">
        <f>IFERROR(VLOOKUP(9599,Gastos[],2,FALSE),"BORRADO")</f>
        <v>BORRADO</v>
      </c>
      <c r="C301" s="40" t="str">
        <f>IFERROR(VLOOKUP(9599,Gastos[],3,FALSE),"BORRADO")</f>
        <v>BORRADO</v>
      </c>
      <c r="D301" s="41" t="str">
        <f>IFERROR(VLOOKUP(9599,Gastos[],4,FALSE),"BORRADO")</f>
        <v>BORRADO</v>
      </c>
      <c r="E301" s="42" t="str">
        <f>IFERROR(VLOOKUP(9599,Gastos[],5,FALSE),"BORRADO")</f>
        <v>BORRADO</v>
      </c>
      <c r="F301" s="41" t="str">
        <f>IFERROR(VLOOKUP(9599,Gastos[],6,FALSE),"BORRADO")</f>
        <v>BORRADO</v>
      </c>
      <c r="G301" s="40" t="str">
        <f>IFERROR(VLOOKUP(9599,Gastos[],7,FALSE),"BORRADO")</f>
        <v>BORRADO</v>
      </c>
      <c r="H301" s="40" t="str">
        <f>IFERROR(VLOOKUP(9599,Gastos[],8,FALSE),"BORRADO")</f>
        <v>BORRADO</v>
      </c>
      <c r="I301" s="40" t="str">
        <f>IFERROR(VLOOKUP(9599,Gastos[],9,FALSE),"BORRADO")</f>
        <v>BORRADO</v>
      </c>
    </row>
    <row r="302" spans="1:9">
      <c r="A302" s="38" t="s">
        <v>355</v>
      </c>
      <c r="B302" s="39" t="str">
        <f>IFERROR(VLOOKUP(9600,Gastos[],2,FALSE),"BORRADO")</f>
        <v>BORRADO</v>
      </c>
      <c r="C302" s="40" t="str">
        <f>IFERROR(VLOOKUP(9600,Gastos[],3,FALSE),"BORRADO")</f>
        <v>BORRADO</v>
      </c>
      <c r="D302" s="41" t="str">
        <f>IFERROR(VLOOKUP(9600,Gastos[],4,FALSE),"BORRADO")</f>
        <v>BORRADO</v>
      </c>
      <c r="E302" s="42" t="str">
        <f>IFERROR(VLOOKUP(9600,Gastos[],5,FALSE),"BORRADO")</f>
        <v>BORRADO</v>
      </c>
      <c r="F302" s="41" t="str">
        <f>IFERROR(VLOOKUP(9600,Gastos[],6,FALSE),"BORRADO")</f>
        <v>BORRADO</v>
      </c>
      <c r="G302" s="40" t="str">
        <f>IFERROR(VLOOKUP(9600,Gastos[],7,FALSE),"BORRADO")</f>
        <v>BORRADO</v>
      </c>
      <c r="H302" s="40" t="str">
        <f>IFERROR(VLOOKUP(9600,Gastos[],8,FALSE),"BORRADO")</f>
        <v>BORRADO</v>
      </c>
      <c r="I302" s="40" t="str">
        <f>IFERROR(VLOOKUP(9600,Gastos[],9,FALSE),"BORRADO")</f>
        <v>BORRADO</v>
      </c>
    </row>
    <row r="303" spans="1:9">
      <c r="A303" s="38" t="s">
        <v>355</v>
      </c>
      <c r="B303" s="39" t="str">
        <f>IFERROR(VLOOKUP(9601,Gastos[],2,FALSE),"BORRADO")</f>
        <v>BORRADO</v>
      </c>
      <c r="C303" s="40" t="str">
        <f>IFERROR(VLOOKUP(9601,Gastos[],3,FALSE),"BORRADO")</f>
        <v>BORRADO</v>
      </c>
      <c r="D303" s="41" t="str">
        <f>IFERROR(VLOOKUP(9601,Gastos[],4,FALSE),"BORRADO")</f>
        <v>BORRADO</v>
      </c>
      <c r="E303" s="42" t="str">
        <f>IFERROR(VLOOKUP(9601,Gastos[],5,FALSE),"BORRADO")</f>
        <v>BORRADO</v>
      </c>
      <c r="F303" s="41" t="str">
        <f>IFERROR(VLOOKUP(9601,Gastos[],6,FALSE),"BORRADO")</f>
        <v>BORRADO</v>
      </c>
      <c r="G303" s="40" t="str">
        <f>IFERROR(VLOOKUP(9601,Gastos[],7,FALSE),"BORRADO")</f>
        <v>BORRADO</v>
      </c>
      <c r="H303" s="40" t="str">
        <f>IFERROR(VLOOKUP(9601,Gastos[],8,FALSE),"BORRADO")</f>
        <v>BORRADO</v>
      </c>
      <c r="I303" s="40" t="str">
        <f>IFERROR(VLOOKUP(9601,Gastos[],9,FALSE),"BORRADO")</f>
        <v>BORRADO</v>
      </c>
    </row>
    <row r="304" spans="1:9">
      <c r="A304" s="38" t="s">
        <v>355</v>
      </c>
      <c r="B304" s="39" t="str">
        <f>IFERROR(VLOOKUP(9603,Gastos[],2,FALSE),"BORRADO")</f>
        <v>BORRADO</v>
      </c>
      <c r="C304" s="40" t="str">
        <f>IFERROR(VLOOKUP(9603,Gastos[],3,FALSE),"BORRADO")</f>
        <v>BORRADO</v>
      </c>
      <c r="D304" s="41" t="str">
        <f>IFERROR(VLOOKUP(9603,Gastos[],4,FALSE),"BORRADO")</f>
        <v>BORRADO</v>
      </c>
      <c r="E304" s="42" t="str">
        <f>IFERROR(VLOOKUP(9603,Gastos[],5,FALSE),"BORRADO")</f>
        <v>BORRADO</v>
      </c>
      <c r="F304" s="41" t="str">
        <f>IFERROR(VLOOKUP(9603,Gastos[],6,FALSE),"BORRADO")</f>
        <v>BORRADO</v>
      </c>
      <c r="G304" s="40" t="str">
        <f>IFERROR(VLOOKUP(9603,Gastos[],7,FALSE),"BORRADO")</f>
        <v>BORRADO</v>
      </c>
      <c r="H304" s="40" t="str">
        <f>IFERROR(VLOOKUP(9603,Gastos[],8,FALSE),"BORRADO")</f>
        <v>BORRADO</v>
      </c>
      <c r="I304" s="40" t="str">
        <f>IFERROR(VLOOKUP(9603,Gastos[],9,FALSE),"BORRADO")</f>
        <v>BORRADO</v>
      </c>
    </row>
    <row r="305" spans="1:9">
      <c r="A305" s="38" t="s">
        <v>355</v>
      </c>
      <c r="B305" s="39" t="str">
        <f>IFERROR(VLOOKUP(9604,Gastos[],2,FALSE),"BORRADO")</f>
        <v>BORRADO</v>
      </c>
      <c r="C305" s="40" t="str">
        <f>IFERROR(VLOOKUP(9604,Gastos[],3,FALSE),"BORRADO")</f>
        <v>BORRADO</v>
      </c>
      <c r="D305" s="41" t="str">
        <f>IFERROR(VLOOKUP(9604,Gastos[],4,FALSE),"BORRADO")</f>
        <v>BORRADO</v>
      </c>
      <c r="E305" s="42" t="str">
        <f>IFERROR(VLOOKUP(9604,Gastos[],5,FALSE),"BORRADO")</f>
        <v>BORRADO</v>
      </c>
      <c r="F305" s="41" t="str">
        <f>IFERROR(VLOOKUP(9604,Gastos[],6,FALSE),"BORRADO")</f>
        <v>BORRADO</v>
      </c>
      <c r="G305" s="40" t="str">
        <f>IFERROR(VLOOKUP(9604,Gastos[],7,FALSE),"BORRADO")</f>
        <v>BORRADO</v>
      </c>
      <c r="H305" s="40" t="str">
        <f>IFERROR(VLOOKUP(9604,Gastos[],8,FALSE),"BORRADO")</f>
        <v>BORRADO</v>
      </c>
      <c r="I305" s="40" t="str">
        <f>IFERROR(VLOOKUP(9604,Gastos[],9,FALSE),"BORRADO")</f>
        <v>BORRADO</v>
      </c>
    </row>
    <row r="306" spans="1:9">
      <c r="A306" s="38" t="s">
        <v>355</v>
      </c>
      <c r="B306" s="39" t="str">
        <f>IFERROR(VLOOKUP(9605,Gastos[],2,FALSE),"BORRADO")</f>
        <v>BORRADO</v>
      </c>
      <c r="C306" s="40" t="str">
        <f>IFERROR(VLOOKUP(9605,Gastos[],3,FALSE),"BORRADO")</f>
        <v>BORRADO</v>
      </c>
      <c r="D306" s="41" t="str">
        <f>IFERROR(VLOOKUP(9605,Gastos[],4,FALSE),"BORRADO")</f>
        <v>BORRADO</v>
      </c>
      <c r="E306" s="42" t="str">
        <f>IFERROR(VLOOKUP(9605,Gastos[],5,FALSE),"BORRADO")</f>
        <v>BORRADO</v>
      </c>
      <c r="F306" s="41" t="str">
        <f>IFERROR(VLOOKUP(9605,Gastos[],6,FALSE),"BORRADO")</f>
        <v>BORRADO</v>
      </c>
      <c r="G306" s="40" t="str">
        <f>IFERROR(VLOOKUP(9605,Gastos[],7,FALSE),"BORRADO")</f>
        <v>BORRADO</v>
      </c>
      <c r="H306" s="40" t="str">
        <f>IFERROR(VLOOKUP(9605,Gastos[],8,FALSE),"BORRADO")</f>
        <v>BORRADO</v>
      </c>
      <c r="I306" s="40" t="str">
        <f>IFERROR(VLOOKUP(9605,Gastos[],9,FALSE),"BORRADO")</f>
        <v>BORRADO</v>
      </c>
    </row>
    <row r="307" spans="1:9">
      <c r="A307" s="38" t="s">
        <v>353</v>
      </c>
      <c r="B307" s="39">
        <f>IFERROR(VLOOKUP(2160,Chequeras[],2,FALSE),"BORRADO")</f>
        <v>42996</v>
      </c>
      <c r="C307" s="40" t="str">
        <f>IFERROR(VLOOKUP(2160,Chequeras[],3,FALSE),"BORRADO")</f>
        <v>01670228</v>
      </c>
      <c r="D307" s="41">
        <f>IFERROR(VLOOKUP(2160,Chequeras[],4,FALSE),"BORRADO")</f>
        <v>-149189.04999999999</v>
      </c>
      <c r="E307" s="42">
        <f>IFERROR(VLOOKUP(2160,Chequeras[],5,FALSE),"BORRADO")</f>
        <v>42997</v>
      </c>
      <c r="F307" s="41">
        <f ca="1">IFERROR(VLOOKUP(2160,Chequeras[],6,FALSE),"BORRADO")</f>
        <v>110494</v>
      </c>
      <c r="G307" s="40" t="str">
        <f>IFERROR(VLOOKUP(2160,Chequeras[],7,FALSE),"BORRADO")</f>
        <v>Bienes Personales sep/17</v>
      </c>
      <c r="H307" s="40" t="str">
        <f>IFERROR(VLOOKUP(2160,Chequeras[],8,FALSE),"BORRADO")</f>
        <v>lh</v>
      </c>
      <c r="I307" s="40">
        <f>IFERROR(VLOOKUP(2160,Chequeras[],9,FALSE),"BORRADO")</f>
        <v>95</v>
      </c>
    </row>
    <row r="308" spans="1:9">
      <c r="A308" s="38" t="s">
        <v>353</v>
      </c>
      <c r="B308" s="39">
        <f>IFERROR(VLOOKUP(2158,Chequeras[],2,FALSE),"BORRADO")</f>
        <v>42996</v>
      </c>
      <c r="C308" s="40" t="str">
        <f>IFERROR(VLOOKUP(2158,Chequeras[],3,FALSE),"BORRADO")</f>
        <v>01670226</v>
      </c>
      <c r="D308" s="41">
        <f>IFERROR(VLOOKUP(2158,Chequeras[],4,FALSE),"BORRADO")</f>
        <v>-2049.5300000000002</v>
      </c>
      <c r="E308" s="42">
        <f>IFERROR(VLOOKUP(2158,Chequeras[],5,FALSE),"BORRADO")</f>
        <v>42999</v>
      </c>
      <c r="F308" s="41">
        <f ca="1">IFERROR(VLOOKUP(2158,Chequeras[],6,FALSE),"BORRADO")</f>
        <v>378</v>
      </c>
      <c r="G308" s="40" t="str">
        <f>IFERROR(VLOOKUP(2158,Chequeras[],7,FALSE),"BORRADO")</f>
        <v>Direcc.Prov.Rentas 19/09/2017</v>
      </c>
      <c r="H308" s="40" t="str">
        <f>IFERROR(VLOOKUP(2158,Chequeras[],8,FALSE),"BORRADO")</f>
        <v>lh</v>
      </c>
      <c r="I308" s="40">
        <f>IFERROR(VLOOKUP(2158,Chequeras[],9,FALSE),"BORRADO")</f>
        <v>95</v>
      </c>
    </row>
    <row r="309" spans="1:9">
      <c r="A309" s="38" t="s">
        <v>353</v>
      </c>
      <c r="B309" s="39">
        <f>IFERROR(VLOOKUP(2159,Chequeras[],2,FALSE),"BORRADO")</f>
        <v>42996</v>
      </c>
      <c r="C309" s="40" t="str">
        <f>IFERROR(VLOOKUP(2159,Chequeras[],3,FALSE),"BORRADO")</f>
        <v>01670227</v>
      </c>
      <c r="D309" s="41">
        <f>IFERROR(VLOOKUP(2159,Chequeras[],4,FALSE),"BORRADO")</f>
        <v>-56036.99</v>
      </c>
      <c r="E309" s="42">
        <f>IFERROR(VLOOKUP(2159,Chequeras[],5,FALSE),"BORRADO")</f>
        <v>42999</v>
      </c>
      <c r="F309" s="41">
        <f ca="1">IFERROR(VLOOKUP(2159,Chequeras[],6,FALSE),"BORRADO")</f>
        <v>17199</v>
      </c>
      <c r="G309" s="40" t="str">
        <f>IFERROR(VLOOKUP(2159,Chequeras[],7,FALSE),"BORRADO")</f>
        <v>Direcc.Prov.Rentas 19/09/2017</v>
      </c>
      <c r="H309" s="40" t="str">
        <f>IFERROR(VLOOKUP(2159,Chequeras[],8,FALSE),"BORRADO")</f>
        <v>lh</v>
      </c>
      <c r="I309" s="40">
        <f>IFERROR(VLOOKUP(2159,Chequeras[],9,FALSE),"BORRADO")</f>
        <v>95</v>
      </c>
    </row>
    <row r="310" spans="1:9">
      <c r="A310" s="38" t="s">
        <v>353</v>
      </c>
      <c r="B310" s="39">
        <f>IFERROR(VLOOKUP(2161,Chequeras[],2,FALSE),"BORRADO")</f>
        <v>42997</v>
      </c>
      <c r="C310" s="40" t="str">
        <f>IFERROR(VLOOKUP(2161,Chequeras[],3,FALSE),"BORRADO")</f>
        <v>01670229</v>
      </c>
      <c r="D310" s="41">
        <f>IFERROR(VLOOKUP(2161,Chequeras[],4,FALSE),"BORRADO")</f>
        <v>-50000</v>
      </c>
      <c r="E310" s="42">
        <f>IFERROR(VLOOKUP(2161,Chequeras[],5,FALSE),"BORRADO")</f>
        <v>42997</v>
      </c>
      <c r="F310" s="41">
        <f ca="1">IFERROR(VLOOKUP(2161,Chequeras[],6,FALSE),"BORRADO")</f>
        <v>29683</v>
      </c>
      <c r="G310" s="40" t="str">
        <f>IFERROR(VLOOKUP(2161,Chequeras[],7,FALSE),"BORRADO")</f>
        <v>RR</v>
      </c>
      <c r="H310" s="40" t="str">
        <f>IFERROR(VLOOKUP(2161,Chequeras[],8,FALSE),"BORRADO")</f>
        <v>lh</v>
      </c>
      <c r="I310" s="40">
        <f>IFERROR(VLOOKUP(2161,Chequeras[],9,FALSE),"BORRADO")</f>
        <v>95</v>
      </c>
    </row>
    <row r="311" spans="1:9">
      <c r="A311" s="38" t="s">
        <v>353</v>
      </c>
      <c r="B311" s="39">
        <f>IFERROR(VLOOKUP(2162,Chequeras[],2,FALSE),"BORRADO")</f>
        <v>42997</v>
      </c>
      <c r="C311" s="40" t="str">
        <f>IFERROR(VLOOKUP(2162,Chequeras[],3,FALSE),"BORRADO")</f>
        <v>01670230</v>
      </c>
      <c r="D311" s="41">
        <f>IFERROR(VLOOKUP(2162,Chequeras[],4,FALSE),"BORRADO")</f>
        <v>-50000</v>
      </c>
      <c r="E311" s="42">
        <f>IFERROR(VLOOKUP(2162,Chequeras[],5,FALSE),"BORRADO")</f>
        <v>42997</v>
      </c>
      <c r="F311" s="41">
        <f ca="1">IFERROR(VLOOKUP(2162,Chequeras[],6,FALSE),"BORRADO")</f>
        <v>30426</v>
      </c>
      <c r="G311" s="40" t="str">
        <f>IFERROR(VLOOKUP(2162,Chequeras[],7,FALSE),"BORRADO")</f>
        <v>RR</v>
      </c>
      <c r="H311" s="40" t="str">
        <f>IFERROR(VLOOKUP(2162,Chequeras[],8,FALSE),"BORRADO")</f>
        <v>lh</v>
      </c>
      <c r="I311" s="40">
        <f>IFERROR(VLOOKUP(2162,Chequeras[],9,FALSE),"BORRADO")</f>
        <v>95</v>
      </c>
    </row>
    <row r="312" spans="1:9">
      <c r="A312" s="38" t="s">
        <v>353</v>
      </c>
      <c r="B312" s="39">
        <f>IFERROR(VLOOKUP(2163,Chequeras[],2,FALSE),"BORRADO")</f>
        <v>42997</v>
      </c>
      <c r="C312" s="40" t="str">
        <f>IFERROR(VLOOKUP(2163,Chequeras[],3,FALSE),"BORRADO")</f>
        <v>01670231</v>
      </c>
      <c r="D312" s="41">
        <f>IFERROR(VLOOKUP(2163,Chequeras[],4,FALSE),"BORRADO")</f>
        <v>-50000</v>
      </c>
      <c r="E312" s="42">
        <f>IFERROR(VLOOKUP(2163,Chequeras[],5,FALSE),"BORRADO")</f>
        <v>42997</v>
      </c>
      <c r="F312" s="41">
        <f ca="1">IFERROR(VLOOKUP(2163,Chequeras[],6,FALSE),"BORRADO")</f>
        <v>22819</v>
      </c>
      <c r="G312" s="40" t="str">
        <f>IFERROR(VLOOKUP(2163,Chequeras[],7,FALSE),"BORRADO")</f>
        <v>RR</v>
      </c>
      <c r="H312" s="40" t="str">
        <f>IFERROR(VLOOKUP(2163,Chequeras[],8,FALSE),"BORRADO")</f>
        <v>lh</v>
      </c>
      <c r="I312" s="40">
        <f>IFERROR(VLOOKUP(2163,Chequeras[],9,FALSE),"BORRADO")</f>
        <v>95</v>
      </c>
    </row>
    <row r="313" spans="1:9">
      <c r="A313" s="38" t="s">
        <v>353</v>
      </c>
      <c r="B313" s="39">
        <f>IFERROR(VLOOKUP(2164,Chequeras[],2,FALSE),"BORRADO")</f>
        <v>42997</v>
      </c>
      <c r="C313" s="40" t="str">
        <f>IFERROR(VLOOKUP(2164,Chequeras[],3,FALSE),"BORRADO")</f>
        <v>01670232</v>
      </c>
      <c r="D313" s="41">
        <f>IFERROR(VLOOKUP(2164,Chequeras[],4,FALSE),"BORRADO")</f>
        <v>-50000</v>
      </c>
      <c r="E313" s="42">
        <f>IFERROR(VLOOKUP(2164,Chequeras[],5,FALSE),"BORRADO")</f>
        <v>42997</v>
      </c>
      <c r="F313" s="41">
        <f ca="1">IFERROR(VLOOKUP(2164,Chequeras[],6,FALSE),"BORRADO")</f>
        <v>9252</v>
      </c>
      <c r="G313" s="40" t="str">
        <f>IFERROR(VLOOKUP(2164,Chequeras[],7,FALSE),"BORRADO")</f>
        <v>RR</v>
      </c>
      <c r="H313" s="40" t="str">
        <f>IFERROR(VLOOKUP(2164,Chequeras[],8,FALSE),"BORRADO")</f>
        <v>lh</v>
      </c>
      <c r="I313" s="40">
        <f>IFERROR(VLOOKUP(2164,Chequeras[],9,FALSE),"BORRADO")</f>
        <v>95</v>
      </c>
    </row>
    <row r="314" spans="1:9">
      <c r="A314" s="38" t="s">
        <v>355</v>
      </c>
      <c r="B314" s="39" t="str">
        <f>IFERROR(VLOOKUP(9606,Gastos[],2,FALSE),"BORRADO")</f>
        <v>BORRADO</v>
      </c>
      <c r="C314" s="40" t="str">
        <f>IFERROR(VLOOKUP(9606,Gastos[],3,FALSE),"BORRADO")</f>
        <v>BORRADO</v>
      </c>
      <c r="D314" s="41" t="str">
        <f>IFERROR(VLOOKUP(9606,Gastos[],4,FALSE),"BORRADO")</f>
        <v>BORRADO</v>
      </c>
      <c r="E314" s="42" t="str">
        <f>IFERROR(VLOOKUP(9606,Gastos[],5,FALSE),"BORRADO")</f>
        <v>BORRADO</v>
      </c>
      <c r="F314" s="41" t="str">
        <f>IFERROR(VLOOKUP(9606,Gastos[],6,FALSE),"BORRADO")</f>
        <v>BORRADO</v>
      </c>
      <c r="G314" s="40" t="str">
        <f>IFERROR(VLOOKUP(9606,Gastos[],7,FALSE),"BORRADO")</f>
        <v>BORRADO</v>
      </c>
      <c r="H314" s="40" t="str">
        <f>IFERROR(VLOOKUP(9606,Gastos[],8,FALSE),"BORRADO")</f>
        <v>BORRADO</v>
      </c>
      <c r="I314" s="40" t="str">
        <f>IFERROR(VLOOKUP(9606,Gastos[],9,FALSE),"BORRADO")</f>
        <v>BORRADO</v>
      </c>
    </row>
    <row r="315" spans="1:9">
      <c r="A315" s="38" t="s">
        <v>355</v>
      </c>
      <c r="B315" s="39" t="str">
        <f>IFERROR(VLOOKUP(9607,Gastos[],2,FALSE),"BORRADO")</f>
        <v>BORRADO</v>
      </c>
      <c r="C315" s="40" t="str">
        <f>IFERROR(VLOOKUP(9607,Gastos[],3,FALSE),"BORRADO")</f>
        <v>BORRADO</v>
      </c>
      <c r="D315" s="41" t="str">
        <f>IFERROR(VLOOKUP(9607,Gastos[],4,FALSE),"BORRADO")</f>
        <v>BORRADO</v>
      </c>
      <c r="E315" s="42" t="str">
        <f>IFERROR(VLOOKUP(9607,Gastos[],5,FALSE),"BORRADO")</f>
        <v>BORRADO</v>
      </c>
      <c r="F315" s="41" t="str">
        <f>IFERROR(VLOOKUP(9607,Gastos[],6,FALSE),"BORRADO")</f>
        <v>BORRADO</v>
      </c>
      <c r="G315" s="40" t="str">
        <f>IFERROR(VLOOKUP(9607,Gastos[],7,FALSE),"BORRADO")</f>
        <v>BORRADO</v>
      </c>
      <c r="H315" s="40" t="str">
        <f>IFERROR(VLOOKUP(9607,Gastos[],8,FALSE),"BORRADO")</f>
        <v>BORRADO</v>
      </c>
      <c r="I315" s="40" t="str">
        <f>IFERROR(VLOOKUP(9607,Gastos[],9,FALSE),"BORRADO")</f>
        <v>BORRADO</v>
      </c>
    </row>
    <row r="316" spans="1:9">
      <c r="A316" s="38" t="s">
        <v>355</v>
      </c>
      <c r="B316" s="39" t="str">
        <f>IFERROR(VLOOKUP(9608,Gastos[],2,FALSE),"BORRADO")</f>
        <v>BORRADO</v>
      </c>
      <c r="C316" s="40" t="str">
        <f>IFERROR(VLOOKUP(9608,Gastos[],3,FALSE),"BORRADO")</f>
        <v>BORRADO</v>
      </c>
      <c r="D316" s="41" t="str">
        <f>IFERROR(VLOOKUP(9608,Gastos[],4,FALSE),"BORRADO")</f>
        <v>BORRADO</v>
      </c>
      <c r="E316" s="42" t="str">
        <f>IFERROR(VLOOKUP(9608,Gastos[],5,FALSE),"BORRADO")</f>
        <v>BORRADO</v>
      </c>
      <c r="F316" s="41" t="str">
        <f>IFERROR(VLOOKUP(9608,Gastos[],6,FALSE),"BORRADO")</f>
        <v>BORRADO</v>
      </c>
      <c r="G316" s="40" t="str">
        <f>IFERROR(VLOOKUP(9608,Gastos[],7,FALSE),"BORRADO")</f>
        <v>BORRADO</v>
      </c>
      <c r="H316" s="40" t="str">
        <f>IFERROR(VLOOKUP(9608,Gastos[],8,FALSE),"BORRADO")</f>
        <v>BORRADO</v>
      </c>
      <c r="I316" s="40" t="str">
        <f>IFERROR(VLOOKUP(9608,Gastos[],9,FALSE),"BORRADO")</f>
        <v>BORRADO</v>
      </c>
    </row>
    <row r="317" spans="1:9">
      <c r="A317" s="38" t="s">
        <v>355</v>
      </c>
      <c r="B317" s="39" t="str">
        <f>IFERROR(VLOOKUP(9609,Gastos[],2,FALSE),"BORRADO")</f>
        <v>BORRADO</v>
      </c>
      <c r="C317" s="40" t="str">
        <f>IFERROR(VLOOKUP(9609,Gastos[],3,FALSE),"BORRADO")</f>
        <v>BORRADO</v>
      </c>
      <c r="D317" s="41" t="str">
        <f>IFERROR(VLOOKUP(9609,Gastos[],4,FALSE),"BORRADO")</f>
        <v>BORRADO</v>
      </c>
      <c r="E317" s="42" t="str">
        <f>IFERROR(VLOOKUP(9609,Gastos[],5,FALSE),"BORRADO")</f>
        <v>BORRADO</v>
      </c>
      <c r="F317" s="41" t="str">
        <f>IFERROR(VLOOKUP(9609,Gastos[],6,FALSE),"BORRADO")</f>
        <v>BORRADO</v>
      </c>
      <c r="G317" s="40" t="str">
        <f>IFERROR(VLOOKUP(9609,Gastos[],7,FALSE),"BORRADO")</f>
        <v>BORRADO</v>
      </c>
      <c r="H317" s="40" t="str">
        <f>IFERROR(VLOOKUP(9609,Gastos[],8,FALSE),"BORRADO")</f>
        <v>BORRADO</v>
      </c>
      <c r="I317" s="40" t="str">
        <f>IFERROR(VLOOKUP(9609,Gastos[],9,FALSE),"BORRADO")</f>
        <v>BORRADO</v>
      </c>
    </row>
    <row r="318" spans="1:9">
      <c r="A318" s="38" t="s">
        <v>355</v>
      </c>
      <c r="B318" s="39" t="str">
        <f>IFERROR(VLOOKUP(9610,Gastos[],2,FALSE),"BORRADO")</f>
        <v>BORRADO</v>
      </c>
      <c r="C318" s="40" t="str">
        <f>IFERROR(VLOOKUP(9610,Gastos[],3,FALSE),"BORRADO")</f>
        <v>BORRADO</v>
      </c>
      <c r="D318" s="41" t="str">
        <f>IFERROR(VLOOKUP(9610,Gastos[],4,FALSE),"BORRADO")</f>
        <v>BORRADO</v>
      </c>
      <c r="E318" s="42" t="str">
        <f>IFERROR(VLOOKUP(9610,Gastos[],5,FALSE),"BORRADO")</f>
        <v>BORRADO</v>
      </c>
      <c r="F318" s="41" t="str">
        <f>IFERROR(VLOOKUP(9610,Gastos[],6,FALSE),"BORRADO")</f>
        <v>BORRADO</v>
      </c>
      <c r="G318" s="40" t="str">
        <f>IFERROR(VLOOKUP(9610,Gastos[],7,FALSE),"BORRADO")</f>
        <v>BORRADO</v>
      </c>
      <c r="H318" s="40" t="str">
        <f>IFERROR(VLOOKUP(9610,Gastos[],8,FALSE),"BORRADO")</f>
        <v>BORRADO</v>
      </c>
      <c r="I318" s="40" t="str">
        <f>IFERROR(VLOOKUP(9610,Gastos[],9,FALSE),"BORRADO")</f>
        <v>BORRADO</v>
      </c>
    </row>
    <row r="319" spans="1:9">
      <c r="A319" s="38" t="s">
        <v>355</v>
      </c>
      <c r="B319" s="39" t="str">
        <f>IFERROR(VLOOKUP(9611,Gastos[],2,FALSE),"BORRADO")</f>
        <v>BORRADO</v>
      </c>
      <c r="C319" s="40" t="str">
        <f>IFERROR(VLOOKUP(9611,Gastos[],3,FALSE),"BORRADO")</f>
        <v>BORRADO</v>
      </c>
      <c r="D319" s="41" t="str">
        <f>IFERROR(VLOOKUP(9611,Gastos[],4,FALSE),"BORRADO")</f>
        <v>BORRADO</v>
      </c>
      <c r="E319" s="42" t="str">
        <f>IFERROR(VLOOKUP(9611,Gastos[],5,FALSE),"BORRADO")</f>
        <v>BORRADO</v>
      </c>
      <c r="F319" s="41" t="str">
        <f>IFERROR(VLOOKUP(9611,Gastos[],6,FALSE),"BORRADO")</f>
        <v>BORRADO</v>
      </c>
      <c r="G319" s="40" t="str">
        <f>IFERROR(VLOOKUP(9611,Gastos[],7,FALSE),"BORRADO")</f>
        <v>BORRADO</v>
      </c>
      <c r="H319" s="40" t="str">
        <f>IFERROR(VLOOKUP(9611,Gastos[],8,FALSE),"BORRADO")</f>
        <v>BORRADO</v>
      </c>
      <c r="I319" s="40" t="str">
        <f>IFERROR(VLOOKUP(9611,Gastos[],9,FALSE),"BORRADO")</f>
        <v>BORRADO</v>
      </c>
    </row>
    <row r="320" spans="1:9">
      <c r="A320" s="38" t="s">
        <v>355</v>
      </c>
      <c r="B320" s="39" t="str">
        <f>IFERROR(VLOOKUP(9612,Gastos[],2,FALSE),"BORRADO")</f>
        <v>BORRADO</v>
      </c>
      <c r="C320" s="40" t="str">
        <f>IFERROR(VLOOKUP(9612,Gastos[],3,FALSE),"BORRADO")</f>
        <v>BORRADO</v>
      </c>
      <c r="D320" s="41" t="str">
        <f>IFERROR(VLOOKUP(9612,Gastos[],4,FALSE),"BORRADO")</f>
        <v>BORRADO</v>
      </c>
      <c r="E320" s="42" t="str">
        <f>IFERROR(VLOOKUP(9612,Gastos[],5,FALSE),"BORRADO")</f>
        <v>BORRADO</v>
      </c>
      <c r="F320" s="41" t="str">
        <f>IFERROR(VLOOKUP(9612,Gastos[],6,FALSE),"BORRADO")</f>
        <v>BORRADO</v>
      </c>
      <c r="G320" s="40" t="str">
        <f>IFERROR(VLOOKUP(9612,Gastos[],7,FALSE),"BORRADO")</f>
        <v>BORRADO</v>
      </c>
      <c r="H320" s="40" t="str">
        <f>IFERROR(VLOOKUP(9612,Gastos[],8,FALSE),"BORRADO")</f>
        <v>BORRADO</v>
      </c>
      <c r="I320" s="40" t="str">
        <f>IFERROR(VLOOKUP(9612,Gastos[],9,FALSE),"BORRADO")</f>
        <v>BORRADO</v>
      </c>
    </row>
    <row r="321" spans="1:9">
      <c r="A321" s="38" t="s">
        <v>355</v>
      </c>
      <c r="B321" s="39" t="str">
        <f>IFERROR(VLOOKUP(9613,Gastos[],2,FALSE),"BORRADO")</f>
        <v>BORRADO</v>
      </c>
      <c r="C321" s="40" t="str">
        <f>IFERROR(VLOOKUP(9613,Gastos[],3,FALSE),"BORRADO")</f>
        <v>BORRADO</v>
      </c>
      <c r="D321" s="41" t="str">
        <f>IFERROR(VLOOKUP(9613,Gastos[],4,FALSE),"BORRADO")</f>
        <v>BORRADO</v>
      </c>
      <c r="E321" s="42" t="str">
        <f>IFERROR(VLOOKUP(9613,Gastos[],5,FALSE),"BORRADO")</f>
        <v>BORRADO</v>
      </c>
      <c r="F321" s="41" t="str">
        <f>IFERROR(VLOOKUP(9613,Gastos[],6,FALSE),"BORRADO")</f>
        <v>BORRADO</v>
      </c>
      <c r="G321" s="40" t="str">
        <f>IFERROR(VLOOKUP(9613,Gastos[],7,FALSE),"BORRADO")</f>
        <v>BORRADO</v>
      </c>
      <c r="H321" s="40" t="str">
        <f>IFERROR(VLOOKUP(9613,Gastos[],8,FALSE),"BORRADO")</f>
        <v>BORRADO</v>
      </c>
      <c r="I321" s="40" t="str">
        <f>IFERROR(VLOOKUP(9613,Gastos[],9,FALSE),"BORRADO")</f>
        <v>BORRADO</v>
      </c>
    </row>
    <row r="322" spans="1:9">
      <c r="A322" s="38" t="s">
        <v>355</v>
      </c>
      <c r="B322" s="39" t="str">
        <f>IFERROR(VLOOKUP(9614,Gastos[],2,FALSE),"BORRADO")</f>
        <v>BORRADO</v>
      </c>
      <c r="C322" s="40" t="str">
        <f>IFERROR(VLOOKUP(9614,Gastos[],3,FALSE),"BORRADO")</f>
        <v>BORRADO</v>
      </c>
      <c r="D322" s="41" t="str">
        <f>IFERROR(VLOOKUP(9614,Gastos[],4,FALSE),"BORRADO")</f>
        <v>BORRADO</v>
      </c>
      <c r="E322" s="42" t="str">
        <f>IFERROR(VLOOKUP(9614,Gastos[],5,FALSE),"BORRADO")</f>
        <v>BORRADO</v>
      </c>
      <c r="F322" s="41" t="str">
        <f>IFERROR(VLOOKUP(9614,Gastos[],6,FALSE),"BORRADO")</f>
        <v>BORRADO</v>
      </c>
      <c r="G322" s="40" t="str">
        <f>IFERROR(VLOOKUP(9614,Gastos[],7,FALSE),"BORRADO")</f>
        <v>BORRADO</v>
      </c>
      <c r="H322" s="40" t="str">
        <f>IFERROR(VLOOKUP(9614,Gastos[],8,FALSE),"BORRADO")</f>
        <v>BORRADO</v>
      </c>
      <c r="I322" s="40" t="str">
        <f>IFERROR(VLOOKUP(9614,Gastos[],9,FALSE),"BORRADO")</f>
        <v>BORRADO</v>
      </c>
    </row>
    <row r="323" spans="1:9">
      <c r="A323" s="38" t="s">
        <v>355</v>
      </c>
      <c r="B323" s="39" t="str">
        <f>IFERROR(VLOOKUP(9615,Gastos[],2,FALSE),"BORRADO")</f>
        <v>BORRADO</v>
      </c>
      <c r="C323" s="40" t="str">
        <f>IFERROR(VLOOKUP(9615,Gastos[],3,FALSE),"BORRADO")</f>
        <v>BORRADO</v>
      </c>
      <c r="D323" s="41" t="str">
        <f>IFERROR(VLOOKUP(9615,Gastos[],4,FALSE),"BORRADO")</f>
        <v>BORRADO</v>
      </c>
      <c r="E323" s="42" t="str">
        <f>IFERROR(VLOOKUP(9615,Gastos[],5,FALSE),"BORRADO")</f>
        <v>BORRADO</v>
      </c>
      <c r="F323" s="41" t="str">
        <f>IFERROR(VLOOKUP(9615,Gastos[],6,FALSE),"BORRADO")</f>
        <v>BORRADO</v>
      </c>
      <c r="G323" s="40" t="str">
        <f>IFERROR(VLOOKUP(9615,Gastos[],7,FALSE),"BORRADO")</f>
        <v>BORRADO</v>
      </c>
      <c r="H323" s="40" t="str">
        <f>IFERROR(VLOOKUP(9615,Gastos[],8,FALSE),"BORRADO")</f>
        <v>BORRADO</v>
      </c>
      <c r="I323" s="40" t="str">
        <f>IFERROR(VLOOKUP(9615,Gastos[],9,FALSE),"BORRADO")</f>
        <v>BORRADO</v>
      </c>
    </row>
    <row r="324" spans="1:9">
      <c r="A324" s="38" t="s">
        <v>355</v>
      </c>
      <c r="B324" s="39" t="str">
        <f>IFERROR(VLOOKUP(9616,Gastos[],2,FALSE),"BORRADO")</f>
        <v>BORRADO</v>
      </c>
      <c r="C324" s="40" t="str">
        <f>IFERROR(VLOOKUP(9616,Gastos[],3,FALSE),"BORRADO")</f>
        <v>BORRADO</v>
      </c>
      <c r="D324" s="41" t="str">
        <f>IFERROR(VLOOKUP(9616,Gastos[],4,FALSE),"BORRADO")</f>
        <v>BORRADO</v>
      </c>
      <c r="E324" s="42" t="str">
        <f>IFERROR(VLOOKUP(9616,Gastos[],5,FALSE),"BORRADO")</f>
        <v>BORRADO</v>
      </c>
      <c r="F324" s="41" t="str">
        <f>IFERROR(VLOOKUP(9616,Gastos[],6,FALSE),"BORRADO")</f>
        <v>BORRADO</v>
      </c>
      <c r="G324" s="40" t="str">
        <f>IFERROR(VLOOKUP(9616,Gastos[],7,FALSE),"BORRADO")</f>
        <v>BORRADO</v>
      </c>
      <c r="H324" s="40" t="str">
        <f>IFERROR(VLOOKUP(9616,Gastos[],8,FALSE),"BORRADO")</f>
        <v>BORRADO</v>
      </c>
      <c r="I324" s="40" t="str">
        <f>IFERROR(VLOOKUP(9616,Gastos[],9,FALSE),"BORRADO")</f>
        <v>BORRADO</v>
      </c>
    </row>
    <row r="325" spans="1:9">
      <c r="A325" s="38" t="s">
        <v>355</v>
      </c>
      <c r="B325" s="39" t="str">
        <f>IFERROR(VLOOKUP(9617,Gastos[],2,FALSE),"BORRADO")</f>
        <v>BORRADO</v>
      </c>
      <c r="C325" s="40" t="str">
        <f>IFERROR(VLOOKUP(9617,Gastos[],3,FALSE),"BORRADO")</f>
        <v>BORRADO</v>
      </c>
      <c r="D325" s="41" t="str">
        <f>IFERROR(VLOOKUP(9617,Gastos[],4,FALSE),"BORRADO")</f>
        <v>BORRADO</v>
      </c>
      <c r="E325" s="42" t="str">
        <f>IFERROR(VLOOKUP(9617,Gastos[],5,FALSE),"BORRADO")</f>
        <v>BORRADO</v>
      </c>
      <c r="F325" s="41" t="str">
        <f>IFERROR(VLOOKUP(9617,Gastos[],6,FALSE),"BORRADO")</f>
        <v>BORRADO</v>
      </c>
      <c r="G325" s="40" t="str">
        <f>IFERROR(VLOOKUP(9617,Gastos[],7,FALSE),"BORRADO")</f>
        <v>BORRADO</v>
      </c>
      <c r="H325" s="40" t="str">
        <f>IFERROR(VLOOKUP(9617,Gastos[],8,FALSE),"BORRADO")</f>
        <v>BORRADO</v>
      </c>
      <c r="I325" s="40" t="str">
        <f>IFERROR(VLOOKUP(9617,Gastos[],9,FALSE),"BORRADO")</f>
        <v>BORRADO</v>
      </c>
    </row>
    <row r="326" spans="1:9">
      <c r="A326" s="38" t="s">
        <v>355</v>
      </c>
      <c r="B326" s="39" t="str">
        <f>IFERROR(VLOOKUP(9618,Gastos[],2,FALSE),"BORRADO")</f>
        <v>BORRADO</v>
      </c>
      <c r="C326" s="40" t="str">
        <f>IFERROR(VLOOKUP(9618,Gastos[],3,FALSE),"BORRADO")</f>
        <v>BORRADO</v>
      </c>
      <c r="D326" s="41" t="str">
        <f>IFERROR(VLOOKUP(9618,Gastos[],4,FALSE),"BORRADO")</f>
        <v>BORRADO</v>
      </c>
      <c r="E326" s="42" t="str">
        <f>IFERROR(VLOOKUP(9618,Gastos[],5,FALSE),"BORRADO")</f>
        <v>BORRADO</v>
      </c>
      <c r="F326" s="41" t="str">
        <f>IFERROR(VLOOKUP(9618,Gastos[],6,FALSE),"BORRADO")</f>
        <v>BORRADO</v>
      </c>
      <c r="G326" s="40" t="str">
        <f>IFERROR(VLOOKUP(9618,Gastos[],7,FALSE),"BORRADO")</f>
        <v>BORRADO</v>
      </c>
      <c r="H326" s="40" t="str">
        <f>IFERROR(VLOOKUP(9618,Gastos[],8,FALSE),"BORRADO")</f>
        <v>BORRADO</v>
      </c>
      <c r="I326" s="40" t="str">
        <f>IFERROR(VLOOKUP(9618,Gastos[],9,FALSE),"BORRADO")</f>
        <v>BORRADO</v>
      </c>
    </row>
    <row r="327" spans="1:9">
      <c r="A327" s="38" t="s">
        <v>354</v>
      </c>
      <c r="B327" s="39">
        <f>IFERROR(VLOOKUP(3185,Depositos[],2,FALSE),"BORRADO")</f>
        <v>42997</v>
      </c>
      <c r="C327" s="40" t="str">
        <f>IFERROR(VLOOKUP(3185,Depositos[],3,FALSE),"BORRADO")</f>
        <v>RR CHEQUE</v>
      </c>
      <c r="D327" s="41">
        <f>IFERROR(VLOOKUP(3185,Depositos[],4,FALSE),"BORRADO")</f>
        <v>175702.5</v>
      </c>
      <c r="E327" s="42">
        <f>IFERROR(VLOOKUP(3185,Depositos[],5,FALSE),"BORRADO")</f>
        <v>42998</v>
      </c>
      <c r="F327" s="41">
        <f ca="1">IFERROR(VLOOKUP(3185,Depositos[],6,FALSE),"BORRADO")</f>
        <v>157643</v>
      </c>
      <c r="G327" s="40" t="str">
        <f>IFERROR(VLOOKUP(3185,Depositos[],7,FALSE),"BORRADO")</f>
        <v>MACRO 51681385</v>
      </c>
      <c r="H327" s="40">
        <f>IFERROR(VLOOKUP(3185,Depositos[],8,FALSE),"BORRADO")</f>
        <v>0</v>
      </c>
      <c r="I327" s="40">
        <f>IFERROR(VLOOKUP(3185,Depositos[],9,FALSE),"BORRADO")</f>
        <v>0</v>
      </c>
    </row>
    <row r="328" spans="1:9">
      <c r="A328" s="38" t="s">
        <v>354</v>
      </c>
      <c r="B328" s="39">
        <f>IFERROR(VLOOKUP(3186,Depositos[],2,FALSE),"BORRADO")</f>
        <v>42997</v>
      </c>
      <c r="C328" s="40" t="str">
        <f>IFERROR(VLOOKUP(3186,Depositos[],3,FALSE),"BORRADO")</f>
        <v>RR CHEQUE</v>
      </c>
      <c r="D328" s="41">
        <f>IFERROR(VLOOKUP(3186,Depositos[],4,FALSE),"BORRADO")</f>
        <v>80000</v>
      </c>
      <c r="E328" s="42">
        <f>IFERROR(VLOOKUP(3186,Depositos[],5,FALSE),"BORRADO")</f>
        <v>42998</v>
      </c>
      <c r="F328" s="41">
        <f ca="1">IFERROR(VLOOKUP(3186,Depositos[],6,FALSE),"BORRADO")</f>
        <v>5813</v>
      </c>
      <c r="G328" s="40" t="str">
        <f>IFERROR(VLOOKUP(3186,Depositos[],7,FALSE),"BORRADO")</f>
        <v>MACRO 68034955 MUNICIP.SSJ/LIMSA</v>
      </c>
      <c r="H328" s="40">
        <f>IFERROR(VLOOKUP(3186,Depositos[],8,FALSE),"BORRADO")</f>
        <v>0</v>
      </c>
      <c r="I328" s="40">
        <f>IFERROR(VLOOKUP(3186,Depositos[],9,FALSE),"BORRADO")</f>
        <v>0</v>
      </c>
    </row>
    <row r="329" spans="1:9">
      <c r="A329" s="38" t="s">
        <v>354</v>
      </c>
      <c r="B329" s="39">
        <f>IFERROR(VLOOKUP(3187,Depositos[],2,FALSE),"BORRADO")</f>
        <v>42997</v>
      </c>
      <c r="C329" s="40" t="str">
        <f>IFERROR(VLOOKUP(3187,Depositos[],3,FALSE),"BORRADO")</f>
        <v>RR CHEQUE</v>
      </c>
      <c r="D329" s="41">
        <f>IFERROR(VLOOKUP(3187,Depositos[],4,FALSE),"BORRADO")</f>
        <v>80000</v>
      </c>
      <c r="E329" s="42">
        <f>IFERROR(VLOOKUP(3187,Depositos[],5,FALSE),"BORRADO")</f>
        <v>42998</v>
      </c>
      <c r="F329" s="41">
        <f ca="1">IFERROR(VLOOKUP(3187,Depositos[],6,FALSE),"BORRADO")</f>
        <v>39408</v>
      </c>
      <c r="G329" s="40" t="str">
        <f>IFERROR(VLOOKUP(3187,Depositos[],7,FALSE),"BORRADO")</f>
        <v>MACRO 68034954 MUNICIP.SSJ/LIMSA</v>
      </c>
      <c r="H329" s="40">
        <f>IFERROR(VLOOKUP(3187,Depositos[],8,FALSE),"BORRADO")</f>
        <v>0</v>
      </c>
      <c r="I329" s="40">
        <f>IFERROR(VLOOKUP(3187,Depositos[],9,FALSE),"BORRADO")</f>
        <v>0</v>
      </c>
    </row>
    <row r="330" spans="1:9">
      <c r="A330" s="38" t="s">
        <v>354</v>
      </c>
      <c r="B330" s="39">
        <f>IFERROR(VLOOKUP(3189,Depositos[],2,FALSE),"BORRADO")</f>
        <v>42997</v>
      </c>
      <c r="C330" s="40" t="str">
        <f>IFERROR(VLOOKUP(3189,Depositos[],3,FALSE),"BORRADO")</f>
        <v>RR CHEQUE</v>
      </c>
      <c r="D330" s="41">
        <f>IFERROR(VLOOKUP(3189,Depositos[],4,FALSE),"BORRADO")</f>
        <v>80000</v>
      </c>
      <c r="E330" s="42">
        <f>IFERROR(VLOOKUP(3189,Depositos[],5,FALSE),"BORRADO")</f>
        <v>42998</v>
      </c>
      <c r="F330" s="41">
        <f ca="1">IFERROR(VLOOKUP(3189,Depositos[],6,FALSE),"BORRADO")</f>
        <v>46881</v>
      </c>
      <c r="G330" s="40" t="str">
        <f>IFERROR(VLOOKUP(3189,Depositos[],7,FALSE),"BORRADO")</f>
        <v>MACRO 68034953 MUNICIP.SSJ/LIMSA</v>
      </c>
      <c r="H330" s="40">
        <f>IFERROR(VLOOKUP(3189,Depositos[],8,FALSE),"BORRADO")</f>
        <v>0</v>
      </c>
      <c r="I330" s="40">
        <f>IFERROR(VLOOKUP(3189,Depositos[],9,FALSE),"BORRADO")</f>
        <v>0</v>
      </c>
    </row>
    <row r="331" spans="1:9">
      <c r="A331" s="38" t="s">
        <v>354</v>
      </c>
      <c r="B331" s="39">
        <f>IFERROR(VLOOKUP(3190,Depositos[],2,FALSE),"BORRADO")</f>
        <v>42997</v>
      </c>
      <c r="C331" s="40" t="str">
        <f>IFERROR(VLOOKUP(3190,Depositos[],3,FALSE),"BORRADO")</f>
        <v>RR CHEQUE</v>
      </c>
      <c r="D331" s="41">
        <f>IFERROR(VLOOKUP(3190,Depositos[],4,FALSE),"BORRADO")</f>
        <v>415138.6</v>
      </c>
      <c r="E331" s="42">
        <f>IFERROR(VLOOKUP(3190,Depositos[],5,FALSE),"BORRADO")</f>
        <v>42998</v>
      </c>
      <c r="F331" s="41">
        <f ca="1">IFERROR(VLOOKUP(3190,Depositos[],6,FALSE),"BORRADO")</f>
        <v>84120</v>
      </c>
      <c r="G331" s="40" t="str">
        <f>IFERROR(VLOOKUP(3190,Depositos[],7,FALSE),"BORRADO")</f>
        <v>MACRO 68035079 MUNICIP.SSJ/ECCI</v>
      </c>
      <c r="H331" s="40">
        <f>IFERROR(VLOOKUP(3190,Depositos[],8,FALSE),"BORRADO")</f>
        <v>0</v>
      </c>
      <c r="I331" s="40">
        <f>IFERROR(VLOOKUP(3190,Depositos[],9,FALSE),"BORRADO")</f>
        <v>0</v>
      </c>
    </row>
    <row r="332" spans="1:9">
      <c r="A332" s="38" t="s">
        <v>354</v>
      </c>
      <c r="B332" s="39">
        <f>IFERROR(VLOOKUP(3188,Depositos[],2,FALSE),"BORRADO")</f>
        <v>42997</v>
      </c>
      <c r="C332" s="40" t="str">
        <f>IFERROR(VLOOKUP(3188,Depositos[],3,FALSE),"BORRADO")</f>
        <v>RR CHEQUE</v>
      </c>
      <c r="D332" s="41">
        <f>IFERROR(VLOOKUP(3188,Depositos[],4,FALSE),"BORRADO")</f>
        <v>80000</v>
      </c>
      <c r="E332" s="42">
        <f>IFERROR(VLOOKUP(3188,Depositos[],5,FALSE),"BORRADO")</f>
        <v>42999</v>
      </c>
      <c r="F332" s="41">
        <f ca="1">IFERROR(VLOOKUP(3188,Depositos[],6,FALSE),"BORRADO")</f>
        <v>32124</v>
      </c>
      <c r="G332" s="40" t="str">
        <f>IFERROR(VLOOKUP(3188,Depositos[],7,FALSE),"BORRADO")</f>
        <v>MACRO 68064956 MUNICIP.SSJ/LIMSA</v>
      </c>
      <c r="H332" s="40">
        <f>IFERROR(VLOOKUP(3188,Depositos[],8,FALSE),"BORRADO")</f>
        <v>0</v>
      </c>
      <c r="I332" s="40">
        <f>IFERROR(VLOOKUP(3188,Depositos[],9,FALSE),"BORRADO")</f>
        <v>0</v>
      </c>
    </row>
    <row r="333" spans="1:9">
      <c r="A333" s="38" t="s">
        <v>354</v>
      </c>
      <c r="B333" s="39">
        <f>IFERROR(VLOOKUP(3194,Depositos[],2,FALSE),"BORRADO")</f>
        <v>42997</v>
      </c>
      <c r="C333" s="40" t="str">
        <f>IFERROR(VLOOKUP(3194,Depositos[],3,FALSE),"BORRADO")</f>
        <v>RR CHEQUE</v>
      </c>
      <c r="D333" s="41">
        <f>IFERROR(VLOOKUP(3194,Depositos[],4,FALSE),"BORRADO")</f>
        <v>175702.5</v>
      </c>
      <c r="E333" s="42">
        <f>IFERROR(VLOOKUP(3194,Depositos[],5,FALSE),"BORRADO")</f>
        <v>43003</v>
      </c>
      <c r="F333" s="41">
        <f ca="1">IFERROR(VLOOKUP(3194,Depositos[],6,FALSE),"BORRADO")</f>
        <v>75486</v>
      </c>
      <c r="G333" s="40" t="str">
        <f>IFERROR(VLOOKUP(3194,Depositos[],7,FALSE),"BORRADO")</f>
        <v>MACRO 51681385</v>
      </c>
      <c r="H333" s="40">
        <f>IFERROR(VLOOKUP(3194,Depositos[],8,FALSE),"BORRADO")</f>
        <v>0</v>
      </c>
      <c r="I333" s="40">
        <f>IFERROR(VLOOKUP(3194,Depositos[],9,FALSE),"BORRADO")</f>
        <v>0</v>
      </c>
    </row>
    <row r="334" spans="1:9">
      <c r="A334" s="38" t="s">
        <v>354</v>
      </c>
      <c r="B334" s="39">
        <f>IFERROR(VLOOKUP(3191,Depositos[],2,FALSE),"BORRADO")</f>
        <v>42998</v>
      </c>
      <c r="C334" s="40" t="str">
        <f>IFERROR(VLOOKUP(3191,Depositos[],3,FALSE),"BORRADO")</f>
        <v>EFECTIVO</v>
      </c>
      <c r="D334" s="41">
        <f>IFERROR(VLOOKUP(3191,Depositos[],4,FALSE),"BORRADO")</f>
        <v>150000</v>
      </c>
      <c r="E334" s="42">
        <f>IFERROR(VLOOKUP(3191,Depositos[],5,FALSE),"BORRADO")</f>
        <v>42998</v>
      </c>
      <c r="F334" s="41">
        <f ca="1">IFERROR(VLOOKUP(3191,Depositos[],6,FALSE),"BORRADO")</f>
        <v>134240</v>
      </c>
      <c r="G334" s="40">
        <f>IFERROR(VLOOKUP(3191,Depositos[],7,FALSE),"BORRADO")</f>
        <v>0</v>
      </c>
      <c r="H334" s="40">
        <f>IFERROR(VLOOKUP(3191,Depositos[],8,FALSE),"BORRADO")</f>
        <v>0</v>
      </c>
      <c r="I334" s="40">
        <f>IFERROR(VLOOKUP(3191,Depositos[],9,FALSE),"BORRADO")</f>
        <v>0</v>
      </c>
    </row>
    <row r="335" spans="1:9">
      <c r="A335" s="38" t="s">
        <v>355</v>
      </c>
      <c r="B335" s="39" t="str">
        <f>IFERROR(VLOOKUP(9619,Gastos[],2,FALSE),"BORRADO")</f>
        <v>BORRADO</v>
      </c>
      <c r="C335" s="40" t="str">
        <f>IFERROR(VLOOKUP(9619,Gastos[],3,FALSE),"BORRADO")</f>
        <v>BORRADO</v>
      </c>
      <c r="D335" s="41" t="str">
        <f>IFERROR(VLOOKUP(9619,Gastos[],4,FALSE),"BORRADO")</f>
        <v>BORRADO</v>
      </c>
      <c r="E335" s="42" t="str">
        <f>IFERROR(VLOOKUP(9619,Gastos[],5,FALSE),"BORRADO")</f>
        <v>BORRADO</v>
      </c>
      <c r="F335" s="41" t="str">
        <f>IFERROR(VLOOKUP(9619,Gastos[],6,FALSE),"BORRADO")</f>
        <v>BORRADO</v>
      </c>
      <c r="G335" s="40" t="str">
        <f>IFERROR(VLOOKUP(9619,Gastos[],7,FALSE),"BORRADO")</f>
        <v>BORRADO</v>
      </c>
      <c r="H335" s="40" t="str">
        <f>IFERROR(VLOOKUP(9619,Gastos[],8,FALSE),"BORRADO")</f>
        <v>BORRADO</v>
      </c>
      <c r="I335" s="40" t="str">
        <f>IFERROR(VLOOKUP(9619,Gastos[],9,FALSE),"BORRADO")</f>
        <v>BORRADO</v>
      </c>
    </row>
    <row r="336" spans="1:9">
      <c r="A336" s="38" t="s">
        <v>355</v>
      </c>
      <c r="B336" s="39" t="str">
        <f>IFERROR(VLOOKUP(9620,Gastos[],2,FALSE),"BORRADO")</f>
        <v>BORRADO</v>
      </c>
      <c r="C336" s="40" t="str">
        <f>IFERROR(VLOOKUP(9620,Gastos[],3,FALSE),"BORRADO")</f>
        <v>BORRADO</v>
      </c>
      <c r="D336" s="41" t="str">
        <f>IFERROR(VLOOKUP(9620,Gastos[],4,FALSE),"BORRADO")</f>
        <v>BORRADO</v>
      </c>
      <c r="E336" s="42" t="str">
        <f>IFERROR(VLOOKUP(9620,Gastos[],5,FALSE),"BORRADO")</f>
        <v>BORRADO</v>
      </c>
      <c r="F336" s="41" t="str">
        <f>IFERROR(VLOOKUP(9620,Gastos[],6,FALSE),"BORRADO")</f>
        <v>BORRADO</v>
      </c>
      <c r="G336" s="40" t="str">
        <f>IFERROR(VLOOKUP(9620,Gastos[],7,FALSE),"BORRADO")</f>
        <v>BORRADO</v>
      </c>
      <c r="H336" s="40" t="str">
        <f>IFERROR(VLOOKUP(9620,Gastos[],8,FALSE),"BORRADO")</f>
        <v>BORRADO</v>
      </c>
      <c r="I336" s="40" t="str">
        <f>IFERROR(VLOOKUP(9620,Gastos[],9,FALSE),"BORRADO")</f>
        <v>BORRADO</v>
      </c>
    </row>
    <row r="337" spans="1:9">
      <c r="A337" s="38" t="s">
        <v>355</v>
      </c>
      <c r="B337" s="39" t="str">
        <f>IFERROR(VLOOKUP(9621,Gastos[],2,FALSE),"BORRADO")</f>
        <v>BORRADO</v>
      </c>
      <c r="C337" s="40" t="str">
        <f>IFERROR(VLOOKUP(9621,Gastos[],3,FALSE),"BORRADO")</f>
        <v>BORRADO</v>
      </c>
      <c r="D337" s="41" t="str">
        <f>IFERROR(VLOOKUP(9621,Gastos[],4,FALSE),"BORRADO")</f>
        <v>BORRADO</v>
      </c>
      <c r="E337" s="42" t="str">
        <f>IFERROR(VLOOKUP(9621,Gastos[],5,FALSE),"BORRADO")</f>
        <v>BORRADO</v>
      </c>
      <c r="F337" s="41" t="str">
        <f>IFERROR(VLOOKUP(9621,Gastos[],6,FALSE),"BORRADO")</f>
        <v>BORRADO</v>
      </c>
      <c r="G337" s="40" t="str">
        <f>IFERROR(VLOOKUP(9621,Gastos[],7,FALSE),"BORRADO")</f>
        <v>BORRADO</v>
      </c>
      <c r="H337" s="40" t="str">
        <f>IFERROR(VLOOKUP(9621,Gastos[],8,FALSE),"BORRADO")</f>
        <v>BORRADO</v>
      </c>
      <c r="I337" s="40" t="str">
        <f>IFERROR(VLOOKUP(9621,Gastos[],9,FALSE),"BORRADO")</f>
        <v>BORRADO</v>
      </c>
    </row>
    <row r="338" spans="1:9">
      <c r="A338" s="38" t="s">
        <v>355</v>
      </c>
      <c r="B338" s="39" t="str">
        <f>IFERROR(VLOOKUP(9622,Gastos[],2,FALSE),"BORRADO")</f>
        <v>BORRADO</v>
      </c>
      <c r="C338" s="40" t="str">
        <f>IFERROR(VLOOKUP(9622,Gastos[],3,FALSE),"BORRADO")</f>
        <v>BORRADO</v>
      </c>
      <c r="D338" s="41" t="str">
        <f>IFERROR(VLOOKUP(9622,Gastos[],4,FALSE),"BORRADO")</f>
        <v>BORRADO</v>
      </c>
      <c r="E338" s="42" t="str">
        <f>IFERROR(VLOOKUP(9622,Gastos[],5,FALSE),"BORRADO")</f>
        <v>BORRADO</v>
      </c>
      <c r="F338" s="41" t="str">
        <f>IFERROR(VLOOKUP(9622,Gastos[],6,FALSE),"BORRADO")</f>
        <v>BORRADO</v>
      </c>
      <c r="G338" s="40" t="str">
        <f>IFERROR(VLOOKUP(9622,Gastos[],7,FALSE),"BORRADO")</f>
        <v>BORRADO</v>
      </c>
      <c r="H338" s="40" t="str">
        <f>IFERROR(VLOOKUP(9622,Gastos[],8,FALSE),"BORRADO")</f>
        <v>BORRADO</v>
      </c>
      <c r="I338" s="40" t="str">
        <f>IFERROR(VLOOKUP(9622,Gastos[],9,FALSE),"BORRADO")</f>
        <v>BORRADO</v>
      </c>
    </row>
    <row r="339" spans="1:9">
      <c r="A339" s="38" t="s">
        <v>355</v>
      </c>
      <c r="B339" s="39" t="str">
        <f>IFERROR(VLOOKUP(9623,Gastos[],2,FALSE),"BORRADO")</f>
        <v>BORRADO</v>
      </c>
      <c r="C339" s="40" t="str">
        <f>IFERROR(VLOOKUP(9623,Gastos[],3,FALSE),"BORRADO")</f>
        <v>BORRADO</v>
      </c>
      <c r="D339" s="41" t="str">
        <f>IFERROR(VLOOKUP(9623,Gastos[],4,FALSE),"BORRADO")</f>
        <v>BORRADO</v>
      </c>
      <c r="E339" s="42" t="str">
        <f>IFERROR(VLOOKUP(9623,Gastos[],5,FALSE),"BORRADO")</f>
        <v>BORRADO</v>
      </c>
      <c r="F339" s="41" t="str">
        <f>IFERROR(VLOOKUP(9623,Gastos[],6,FALSE),"BORRADO")</f>
        <v>BORRADO</v>
      </c>
      <c r="G339" s="40" t="str">
        <f>IFERROR(VLOOKUP(9623,Gastos[],7,FALSE),"BORRADO")</f>
        <v>BORRADO</v>
      </c>
      <c r="H339" s="40" t="str">
        <f>IFERROR(VLOOKUP(9623,Gastos[],8,FALSE),"BORRADO")</f>
        <v>BORRADO</v>
      </c>
      <c r="I339" s="40" t="str">
        <f>IFERROR(VLOOKUP(9623,Gastos[],9,FALSE),"BORRADO")</f>
        <v>BORRADO</v>
      </c>
    </row>
    <row r="340" spans="1:9">
      <c r="A340" s="38" t="s">
        <v>355</v>
      </c>
      <c r="B340" s="39" t="str">
        <f>IFERROR(VLOOKUP(9624,Gastos[],2,FALSE),"BORRADO")</f>
        <v>BORRADO</v>
      </c>
      <c r="C340" s="40" t="str">
        <f>IFERROR(VLOOKUP(9624,Gastos[],3,FALSE),"BORRADO")</f>
        <v>BORRADO</v>
      </c>
      <c r="D340" s="41" t="str">
        <f>IFERROR(VLOOKUP(9624,Gastos[],4,FALSE),"BORRADO")</f>
        <v>BORRADO</v>
      </c>
      <c r="E340" s="42" t="str">
        <f>IFERROR(VLOOKUP(9624,Gastos[],5,FALSE),"BORRADO")</f>
        <v>BORRADO</v>
      </c>
      <c r="F340" s="41" t="str">
        <f>IFERROR(VLOOKUP(9624,Gastos[],6,FALSE),"BORRADO")</f>
        <v>BORRADO</v>
      </c>
      <c r="G340" s="40" t="str">
        <f>IFERROR(VLOOKUP(9624,Gastos[],7,FALSE),"BORRADO")</f>
        <v>BORRADO</v>
      </c>
      <c r="H340" s="40" t="str">
        <f>IFERROR(VLOOKUP(9624,Gastos[],8,FALSE),"BORRADO")</f>
        <v>BORRADO</v>
      </c>
      <c r="I340" s="40" t="str">
        <f>IFERROR(VLOOKUP(9624,Gastos[],9,FALSE),"BORRADO")</f>
        <v>BORRADO</v>
      </c>
    </row>
    <row r="341" spans="1:9">
      <c r="A341" s="38" t="s">
        <v>355</v>
      </c>
      <c r="B341" s="39" t="str">
        <f>IFERROR(VLOOKUP(9625,Gastos[],2,FALSE),"BORRADO")</f>
        <v>BORRADO</v>
      </c>
      <c r="C341" s="40" t="str">
        <f>IFERROR(VLOOKUP(9625,Gastos[],3,FALSE),"BORRADO")</f>
        <v>BORRADO</v>
      </c>
      <c r="D341" s="41" t="str">
        <f>IFERROR(VLOOKUP(9625,Gastos[],4,FALSE),"BORRADO")</f>
        <v>BORRADO</v>
      </c>
      <c r="E341" s="42" t="str">
        <f>IFERROR(VLOOKUP(9625,Gastos[],5,FALSE),"BORRADO")</f>
        <v>BORRADO</v>
      </c>
      <c r="F341" s="41" t="str">
        <f>IFERROR(VLOOKUP(9625,Gastos[],6,FALSE),"BORRADO")</f>
        <v>BORRADO</v>
      </c>
      <c r="G341" s="40" t="str">
        <f>IFERROR(VLOOKUP(9625,Gastos[],7,FALSE),"BORRADO")</f>
        <v>BORRADO</v>
      </c>
      <c r="H341" s="40" t="str">
        <f>IFERROR(VLOOKUP(9625,Gastos[],8,FALSE),"BORRADO")</f>
        <v>BORRADO</v>
      </c>
      <c r="I341" s="40" t="str">
        <f>IFERROR(VLOOKUP(9625,Gastos[],9,FALSE),"BORRADO")</f>
        <v>BORRADO</v>
      </c>
    </row>
    <row r="342" spans="1:9">
      <c r="A342" s="38" t="s">
        <v>355</v>
      </c>
      <c r="B342" s="39" t="str">
        <f>IFERROR(VLOOKUP(9626,Gastos[],2,FALSE),"BORRADO")</f>
        <v>BORRADO</v>
      </c>
      <c r="C342" s="40" t="str">
        <f>IFERROR(VLOOKUP(9626,Gastos[],3,FALSE),"BORRADO")</f>
        <v>BORRADO</v>
      </c>
      <c r="D342" s="41" t="str">
        <f>IFERROR(VLOOKUP(9626,Gastos[],4,FALSE),"BORRADO")</f>
        <v>BORRADO</v>
      </c>
      <c r="E342" s="42" t="str">
        <f>IFERROR(VLOOKUP(9626,Gastos[],5,FALSE),"BORRADO")</f>
        <v>BORRADO</v>
      </c>
      <c r="F342" s="41" t="str">
        <f>IFERROR(VLOOKUP(9626,Gastos[],6,FALSE),"BORRADO")</f>
        <v>BORRADO</v>
      </c>
      <c r="G342" s="40" t="str">
        <f>IFERROR(VLOOKUP(9626,Gastos[],7,FALSE),"BORRADO")</f>
        <v>BORRADO</v>
      </c>
      <c r="H342" s="40" t="str">
        <f>IFERROR(VLOOKUP(9626,Gastos[],8,FALSE),"BORRADO")</f>
        <v>BORRADO</v>
      </c>
      <c r="I342" s="40" t="str">
        <f>IFERROR(VLOOKUP(9626,Gastos[],9,FALSE),"BORRADO")</f>
        <v>BORRADO</v>
      </c>
    </row>
    <row r="343" spans="1:9">
      <c r="A343" s="38" t="s">
        <v>355</v>
      </c>
      <c r="B343" s="39" t="str">
        <f>IFERROR(VLOOKUP(9627,Gastos[],2,FALSE),"BORRADO")</f>
        <v>BORRADO</v>
      </c>
      <c r="C343" s="40" t="str">
        <f>IFERROR(VLOOKUP(9627,Gastos[],3,FALSE),"BORRADO")</f>
        <v>BORRADO</v>
      </c>
      <c r="D343" s="41" t="str">
        <f>IFERROR(VLOOKUP(9627,Gastos[],4,FALSE),"BORRADO")</f>
        <v>BORRADO</v>
      </c>
      <c r="E343" s="42" t="str">
        <f>IFERROR(VLOOKUP(9627,Gastos[],5,FALSE),"BORRADO")</f>
        <v>BORRADO</v>
      </c>
      <c r="F343" s="41" t="str">
        <f>IFERROR(VLOOKUP(9627,Gastos[],6,FALSE),"BORRADO")</f>
        <v>BORRADO</v>
      </c>
      <c r="G343" s="40" t="str">
        <f>IFERROR(VLOOKUP(9627,Gastos[],7,FALSE),"BORRADO")</f>
        <v>BORRADO</v>
      </c>
      <c r="H343" s="40" t="str">
        <f>IFERROR(VLOOKUP(9627,Gastos[],8,FALSE),"BORRADO")</f>
        <v>BORRADO</v>
      </c>
      <c r="I343" s="40" t="str">
        <f>IFERROR(VLOOKUP(9627,Gastos[],9,FALSE),"BORRADO")</f>
        <v>BORRADO</v>
      </c>
    </row>
    <row r="344" spans="1:9">
      <c r="A344" s="38" t="s">
        <v>355</v>
      </c>
      <c r="B344" s="39" t="str">
        <f>IFERROR(VLOOKUP(9628,Gastos[],2,FALSE),"BORRADO")</f>
        <v>BORRADO</v>
      </c>
      <c r="C344" s="40" t="str">
        <f>IFERROR(VLOOKUP(9628,Gastos[],3,FALSE),"BORRADO")</f>
        <v>BORRADO</v>
      </c>
      <c r="D344" s="41" t="str">
        <f>IFERROR(VLOOKUP(9628,Gastos[],4,FALSE),"BORRADO")</f>
        <v>BORRADO</v>
      </c>
      <c r="E344" s="42" t="str">
        <f>IFERROR(VLOOKUP(9628,Gastos[],5,FALSE),"BORRADO")</f>
        <v>BORRADO</v>
      </c>
      <c r="F344" s="41" t="str">
        <f>IFERROR(VLOOKUP(9628,Gastos[],6,FALSE),"BORRADO")</f>
        <v>BORRADO</v>
      </c>
      <c r="G344" s="40" t="str">
        <f>IFERROR(VLOOKUP(9628,Gastos[],7,FALSE),"BORRADO")</f>
        <v>BORRADO</v>
      </c>
      <c r="H344" s="40" t="str">
        <f>IFERROR(VLOOKUP(9628,Gastos[],8,FALSE),"BORRADO")</f>
        <v>BORRADO</v>
      </c>
      <c r="I344" s="40" t="str">
        <f>IFERROR(VLOOKUP(9628,Gastos[],9,FALSE),"BORRADO")</f>
        <v>BORRADO</v>
      </c>
    </row>
    <row r="345" spans="1:9">
      <c r="A345" s="38" t="s">
        <v>355</v>
      </c>
      <c r="B345" s="39" t="str">
        <f>IFERROR(VLOOKUP(9629,Gastos[],2,FALSE),"BORRADO")</f>
        <v>BORRADO</v>
      </c>
      <c r="C345" s="40" t="str">
        <f>IFERROR(VLOOKUP(9629,Gastos[],3,FALSE),"BORRADO")</f>
        <v>BORRADO</v>
      </c>
      <c r="D345" s="41" t="str">
        <f>IFERROR(VLOOKUP(9629,Gastos[],4,FALSE),"BORRADO")</f>
        <v>BORRADO</v>
      </c>
      <c r="E345" s="42" t="str">
        <f>IFERROR(VLOOKUP(9629,Gastos[],5,FALSE),"BORRADO")</f>
        <v>BORRADO</v>
      </c>
      <c r="F345" s="41" t="str">
        <f>IFERROR(VLOOKUP(9629,Gastos[],6,FALSE),"BORRADO")</f>
        <v>BORRADO</v>
      </c>
      <c r="G345" s="40" t="str">
        <f>IFERROR(VLOOKUP(9629,Gastos[],7,FALSE),"BORRADO")</f>
        <v>BORRADO</v>
      </c>
      <c r="H345" s="40" t="str">
        <f>IFERROR(VLOOKUP(9629,Gastos[],8,FALSE),"BORRADO")</f>
        <v>BORRADO</v>
      </c>
      <c r="I345" s="40" t="str">
        <f>IFERROR(VLOOKUP(9629,Gastos[],9,FALSE),"BORRADO")</f>
        <v>BORRADO</v>
      </c>
    </row>
    <row r="346" spans="1:9">
      <c r="A346" s="38" t="s">
        <v>355</v>
      </c>
      <c r="B346" s="39" t="str">
        <f>IFERROR(VLOOKUP(9630,Gastos[],2,FALSE),"BORRADO")</f>
        <v>BORRADO</v>
      </c>
      <c r="C346" s="40" t="str">
        <f>IFERROR(VLOOKUP(9630,Gastos[],3,FALSE),"BORRADO")</f>
        <v>BORRADO</v>
      </c>
      <c r="D346" s="41" t="str">
        <f>IFERROR(VLOOKUP(9630,Gastos[],4,FALSE),"BORRADO")</f>
        <v>BORRADO</v>
      </c>
      <c r="E346" s="42" t="str">
        <f>IFERROR(VLOOKUP(9630,Gastos[],5,FALSE),"BORRADO")</f>
        <v>BORRADO</v>
      </c>
      <c r="F346" s="41" t="str">
        <f>IFERROR(VLOOKUP(9630,Gastos[],6,FALSE),"BORRADO")</f>
        <v>BORRADO</v>
      </c>
      <c r="G346" s="40" t="str">
        <f>IFERROR(VLOOKUP(9630,Gastos[],7,FALSE),"BORRADO")</f>
        <v>BORRADO</v>
      </c>
      <c r="H346" s="40" t="str">
        <f>IFERROR(VLOOKUP(9630,Gastos[],8,FALSE),"BORRADO")</f>
        <v>BORRADO</v>
      </c>
      <c r="I346" s="40" t="str">
        <f>IFERROR(VLOOKUP(9630,Gastos[],9,FALSE),"BORRADO")</f>
        <v>BORRADO</v>
      </c>
    </row>
    <row r="347" spans="1:9">
      <c r="A347" s="38" t="s">
        <v>355</v>
      </c>
      <c r="B347" s="39" t="str">
        <f>IFERROR(VLOOKUP(9631,Gastos[],2,FALSE),"BORRADO")</f>
        <v>BORRADO</v>
      </c>
      <c r="C347" s="40" t="str">
        <f>IFERROR(VLOOKUP(9631,Gastos[],3,FALSE),"BORRADO")</f>
        <v>BORRADO</v>
      </c>
      <c r="D347" s="41" t="str">
        <f>IFERROR(VLOOKUP(9631,Gastos[],4,FALSE),"BORRADO")</f>
        <v>BORRADO</v>
      </c>
      <c r="E347" s="42" t="str">
        <f>IFERROR(VLOOKUP(9631,Gastos[],5,FALSE),"BORRADO")</f>
        <v>BORRADO</v>
      </c>
      <c r="F347" s="41" t="str">
        <f>IFERROR(VLOOKUP(9631,Gastos[],6,FALSE),"BORRADO")</f>
        <v>BORRADO</v>
      </c>
      <c r="G347" s="40" t="str">
        <f>IFERROR(VLOOKUP(9631,Gastos[],7,FALSE),"BORRADO")</f>
        <v>BORRADO</v>
      </c>
      <c r="H347" s="40" t="str">
        <f>IFERROR(VLOOKUP(9631,Gastos[],8,FALSE),"BORRADO")</f>
        <v>BORRADO</v>
      </c>
      <c r="I347" s="40" t="str">
        <f>IFERROR(VLOOKUP(9631,Gastos[],9,FALSE),"BORRADO")</f>
        <v>BORRADO</v>
      </c>
    </row>
    <row r="348" spans="1:9">
      <c r="A348" s="38" t="s">
        <v>355</v>
      </c>
      <c r="B348" s="39" t="str">
        <f>IFERROR(VLOOKUP(9632,Gastos[],2,FALSE),"BORRADO")</f>
        <v>BORRADO</v>
      </c>
      <c r="C348" s="40" t="str">
        <f>IFERROR(VLOOKUP(9632,Gastos[],3,FALSE),"BORRADO")</f>
        <v>BORRADO</v>
      </c>
      <c r="D348" s="41" t="str">
        <f>IFERROR(VLOOKUP(9632,Gastos[],4,FALSE),"BORRADO")</f>
        <v>BORRADO</v>
      </c>
      <c r="E348" s="42" t="str">
        <f>IFERROR(VLOOKUP(9632,Gastos[],5,FALSE),"BORRADO")</f>
        <v>BORRADO</v>
      </c>
      <c r="F348" s="41" t="str">
        <f>IFERROR(VLOOKUP(9632,Gastos[],6,FALSE),"BORRADO")</f>
        <v>BORRADO</v>
      </c>
      <c r="G348" s="40" t="str">
        <f>IFERROR(VLOOKUP(9632,Gastos[],7,FALSE),"BORRADO")</f>
        <v>BORRADO</v>
      </c>
      <c r="H348" s="40" t="str">
        <f>IFERROR(VLOOKUP(9632,Gastos[],8,FALSE),"BORRADO")</f>
        <v>BORRADO</v>
      </c>
      <c r="I348" s="40" t="str">
        <f>IFERROR(VLOOKUP(9632,Gastos[],9,FALSE),"BORRADO")</f>
        <v>BORRADO</v>
      </c>
    </row>
    <row r="349" spans="1:9">
      <c r="A349" s="38" t="s">
        <v>355</v>
      </c>
      <c r="B349" s="39" t="str">
        <f>IFERROR(VLOOKUP(9633,Gastos[],2,FALSE),"BORRADO")</f>
        <v>BORRADO</v>
      </c>
      <c r="C349" s="40" t="str">
        <f>IFERROR(VLOOKUP(9633,Gastos[],3,FALSE),"BORRADO")</f>
        <v>BORRADO</v>
      </c>
      <c r="D349" s="41" t="str">
        <f>IFERROR(VLOOKUP(9633,Gastos[],4,FALSE),"BORRADO")</f>
        <v>BORRADO</v>
      </c>
      <c r="E349" s="42" t="str">
        <f>IFERROR(VLOOKUP(9633,Gastos[],5,FALSE),"BORRADO")</f>
        <v>BORRADO</v>
      </c>
      <c r="F349" s="41" t="str">
        <f>IFERROR(VLOOKUP(9633,Gastos[],6,FALSE),"BORRADO")</f>
        <v>BORRADO</v>
      </c>
      <c r="G349" s="40" t="str">
        <f>IFERROR(VLOOKUP(9633,Gastos[],7,FALSE),"BORRADO")</f>
        <v>BORRADO</v>
      </c>
      <c r="H349" s="40" t="str">
        <f>IFERROR(VLOOKUP(9633,Gastos[],8,FALSE),"BORRADO")</f>
        <v>BORRADO</v>
      </c>
      <c r="I349" s="40" t="str">
        <f>IFERROR(VLOOKUP(9633,Gastos[],9,FALSE),"BORRADO")</f>
        <v>BORRADO</v>
      </c>
    </row>
    <row r="350" spans="1:9">
      <c r="A350" s="38" t="s">
        <v>355</v>
      </c>
      <c r="B350" s="39" t="str">
        <f>IFERROR(VLOOKUP(9634,Gastos[],2,FALSE),"BORRADO")</f>
        <v>BORRADO</v>
      </c>
      <c r="C350" s="40" t="str">
        <f>IFERROR(VLOOKUP(9634,Gastos[],3,FALSE),"BORRADO")</f>
        <v>BORRADO</v>
      </c>
      <c r="D350" s="41" t="str">
        <f>IFERROR(VLOOKUP(9634,Gastos[],4,FALSE),"BORRADO")</f>
        <v>BORRADO</v>
      </c>
      <c r="E350" s="42" t="str">
        <f>IFERROR(VLOOKUP(9634,Gastos[],5,FALSE),"BORRADO")</f>
        <v>BORRADO</v>
      </c>
      <c r="F350" s="41" t="str">
        <f>IFERROR(VLOOKUP(9634,Gastos[],6,FALSE),"BORRADO")</f>
        <v>BORRADO</v>
      </c>
      <c r="G350" s="40" t="str">
        <f>IFERROR(VLOOKUP(9634,Gastos[],7,FALSE),"BORRADO")</f>
        <v>BORRADO</v>
      </c>
      <c r="H350" s="40" t="str">
        <f>IFERROR(VLOOKUP(9634,Gastos[],8,FALSE),"BORRADO")</f>
        <v>BORRADO</v>
      </c>
      <c r="I350" s="40" t="str">
        <f>IFERROR(VLOOKUP(9634,Gastos[],9,FALSE),"BORRADO")</f>
        <v>BORRADO</v>
      </c>
    </row>
    <row r="351" spans="1:9">
      <c r="A351" s="38" t="s">
        <v>355</v>
      </c>
      <c r="B351" s="39" t="str">
        <f>IFERROR(VLOOKUP(9635,Gastos[],2,FALSE),"BORRADO")</f>
        <v>BORRADO</v>
      </c>
      <c r="C351" s="40" t="str">
        <f>IFERROR(VLOOKUP(9635,Gastos[],3,FALSE),"BORRADO")</f>
        <v>BORRADO</v>
      </c>
      <c r="D351" s="41" t="str">
        <f>IFERROR(VLOOKUP(9635,Gastos[],4,FALSE),"BORRADO")</f>
        <v>BORRADO</v>
      </c>
      <c r="E351" s="42" t="str">
        <f>IFERROR(VLOOKUP(9635,Gastos[],5,FALSE),"BORRADO")</f>
        <v>BORRADO</v>
      </c>
      <c r="F351" s="41" t="str">
        <f>IFERROR(VLOOKUP(9635,Gastos[],6,FALSE),"BORRADO")</f>
        <v>BORRADO</v>
      </c>
      <c r="G351" s="40" t="str">
        <f>IFERROR(VLOOKUP(9635,Gastos[],7,FALSE),"BORRADO")</f>
        <v>BORRADO</v>
      </c>
      <c r="H351" s="40" t="str">
        <f>IFERROR(VLOOKUP(9635,Gastos[],8,FALSE),"BORRADO")</f>
        <v>BORRADO</v>
      </c>
      <c r="I351" s="40" t="str">
        <f>IFERROR(VLOOKUP(9635,Gastos[],9,FALSE),"BORRADO")</f>
        <v>BORRADO</v>
      </c>
    </row>
    <row r="352" spans="1:9">
      <c r="A352" s="38" t="s">
        <v>355</v>
      </c>
      <c r="B352" s="39" t="str">
        <f>IFERROR(VLOOKUP(9636,Gastos[],2,FALSE),"BORRADO")</f>
        <v>BORRADO</v>
      </c>
      <c r="C352" s="40" t="str">
        <f>IFERROR(VLOOKUP(9636,Gastos[],3,FALSE),"BORRADO")</f>
        <v>BORRADO</v>
      </c>
      <c r="D352" s="41" t="str">
        <f>IFERROR(VLOOKUP(9636,Gastos[],4,FALSE),"BORRADO")</f>
        <v>BORRADO</v>
      </c>
      <c r="E352" s="42" t="str">
        <f>IFERROR(VLOOKUP(9636,Gastos[],5,FALSE),"BORRADO")</f>
        <v>BORRADO</v>
      </c>
      <c r="F352" s="41" t="str">
        <f>IFERROR(VLOOKUP(9636,Gastos[],6,FALSE),"BORRADO")</f>
        <v>BORRADO</v>
      </c>
      <c r="G352" s="40" t="str">
        <f>IFERROR(VLOOKUP(9636,Gastos[],7,FALSE),"BORRADO")</f>
        <v>BORRADO</v>
      </c>
      <c r="H352" s="40" t="str">
        <f>IFERROR(VLOOKUP(9636,Gastos[],8,FALSE),"BORRADO")</f>
        <v>BORRADO</v>
      </c>
      <c r="I352" s="40" t="str">
        <f>IFERROR(VLOOKUP(9636,Gastos[],9,FALSE),"BORRADO")</f>
        <v>BORRADO</v>
      </c>
    </row>
    <row r="353" spans="1:9">
      <c r="A353" s="38" t="s">
        <v>355</v>
      </c>
      <c r="B353" s="39" t="str">
        <f>IFERROR(VLOOKUP(9637,Gastos[],2,FALSE),"BORRADO")</f>
        <v>BORRADO</v>
      </c>
      <c r="C353" s="40" t="str">
        <f>IFERROR(VLOOKUP(9637,Gastos[],3,FALSE),"BORRADO")</f>
        <v>BORRADO</v>
      </c>
      <c r="D353" s="41" t="str">
        <f>IFERROR(VLOOKUP(9637,Gastos[],4,FALSE),"BORRADO")</f>
        <v>BORRADO</v>
      </c>
      <c r="E353" s="42" t="str">
        <f>IFERROR(VLOOKUP(9637,Gastos[],5,FALSE),"BORRADO")</f>
        <v>BORRADO</v>
      </c>
      <c r="F353" s="41" t="str">
        <f>IFERROR(VLOOKUP(9637,Gastos[],6,FALSE),"BORRADO")</f>
        <v>BORRADO</v>
      </c>
      <c r="G353" s="40" t="str">
        <f>IFERROR(VLOOKUP(9637,Gastos[],7,FALSE),"BORRADO")</f>
        <v>BORRADO</v>
      </c>
      <c r="H353" s="40" t="str">
        <f>IFERROR(VLOOKUP(9637,Gastos[],8,FALSE),"BORRADO")</f>
        <v>BORRADO</v>
      </c>
      <c r="I353" s="40" t="str">
        <f>IFERROR(VLOOKUP(9637,Gastos[],9,FALSE),"BORRADO")</f>
        <v>BORRADO</v>
      </c>
    </row>
    <row r="354" spans="1:9">
      <c r="A354" s="38" t="s">
        <v>355</v>
      </c>
      <c r="B354" s="39" t="str">
        <f>IFERROR(VLOOKUP(9638,Gastos[],2,FALSE),"BORRADO")</f>
        <v>BORRADO</v>
      </c>
      <c r="C354" s="40" t="str">
        <f>IFERROR(VLOOKUP(9638,Gastos[],3,FALSE),"BORRADO")</f>
        <v>BORRADO</v>
      </c>
      <c r="D354" s="41" t="str">
        <f>IFERROR(VLOOKUP(9638,Gastos[],4,FALSE),"BORRADO")</f>
        <v>BORRADO</v>
      </c>
      <c r="E354" s="42" t="str">
        <f>IFERROR(VLOOKUP(9638,Gastos[],5,FALSE),"BORRADO")</f>
        <v>BORRADO</v>
      </c>
      <c r="F354" s="41" t="str">
        <f>IFERROR(VLOOKUP(9638,Gastos[],6,FALSE),"BORRADO")</f>
        <v>BORRADO</v>
      </c>
      <c r="G354" s="40" t="str">
        <f>IFERROR(VLOOKUP(9638,Gastos[],7,FALSE),"BORRADO")</f>
        <v>BORRADO</v>
      </c>
      <c r="H354" s="40" t="str">
        <f>IFERROR(VLOOKUP(9638,Gastos[],8,FALSE),"BORRADO")</f>
        <v>BORRADO</v>
      </c>
      <c r="I354" s="40" t="str">
        <f>IFERROR(VLOOKUP(9638,Gastos[],9,FALSE),"BORRADO")</f>
        <v>BORRADO</v>
      </c>
    </row>
    <row r="355" spans="1:9">
      <c r="A355" s="38" t="s">
        <v>355</v>
      </c>
      <c r="B355" s="39" t="str">
        <f>IFERROR(VLOOKUP(9639,Gastos[],2,FALSE),"BORRADO")</f>
        <v>BORRADO</v>
      </c>
      <c r="C355" s="40" t="str">
        <f>IFERROR(VLOOKUP(9639,Gastos[],3,FALSE),"BORRADO")</f>
        <v>BORRADO</v>
      </c>
      <c r="D355" s="41" t="str">
        <f>IFERROR(VLOOKUP(9639,Gastos[],4,FALSE),"BORRADO")</f>
        <v>BORRADO</v>
      </c>
      <c r="E355" s="42" t="str">
        <f>IFERROR(VLOOKUP(9639,Gastos[],5,FALSE),"BORRADO")</f>
        <v>BORRADO</v>
      </c>
      <c r="F355" s="41" t="str">
        <f>IFERROR(VLOOKUP(9639,Gastos[],6,FALSE),"BORRADO")</f>
        <v>BORRADO</v>
      </c>
      <c r="G355" s="40" t="str">
        <f>IFERROR(VLOOKUP(9639,Gastos[],7,FALSE),"BORRADO")</f>
        <v>BORRADO</v>
      </c>
      <c r="H355" s="40" t="str">
        <f>IFERROR(VLOOKUP(9639,Gastos[],8,FALSE),"BORRADO")</f>
        <v>BORRADO</v>
      </c>
      <c r="I355" s="40" t="str">
        <f>IFERROR(VLOOKUP(9639,Gastos[],9,FALSE),"BORRADO")</f>
        <v>BORRADO</v>
      </c>
    </row>
    <row r="356" spans="1:9">
      <c r="A356" s="38" t="s">
        <v>355</v>
      </c>
      <c r="B356" s="39" t="str">
        <f>IFERROR(VLOOKUP(9640,Gastos[],2,FALSE),"BORRADO")</f>
        <v>BORRADO</v>
      </c>
      <c r="C356" s="40" t="str">
        <f>IFERROR(VLOOKUP(9640,Gastos[],3,FALSE),"BORRADO")</f>
        <v>BORRADO</v>
      </c>
      <c r="D356" s="41" t="str">
        <f>IFERROR(VLOOKUP(9640,Gastos[],4,FALSE),"BORRADO")</f>
        <v>BORRADO</v>
      </c>
      <c r="E356" s="42" t="str">
        <f>IFERROR(VLOOKUP(9640,Gastos[],5,FALSE),"BORRADO")</f>
        <v>BORRADO</v>
      </c>
      <c r="F356" s="41" t="str">
        <f>IFERROR(VLOOKUP(9640,Gastos[],6,FALSE),"BORRADO")</f>
        <v>BORRADO</v>
      </c>
      <c r="G356" s="40" t="str">
        <f>IFERROR(VLOOKUP(9640,Gastos[],7,FALSE),"BORRADO")</f>
        <v>BORRADO</v>
      </c>
      <c r="H356" s="40" t="str">
        <f>IFERROR(VLOOKUP(9640,Gastos[],8,FALSE),"BORRADO")</f>
        <v>BORRADO</v>
      </c>
      <c r="I356" s="40" t="str">
        <f>IFERROR(VLOOKUP(9640,Gastos[],9,FALSE),"BORRADO")</f>
        <v>BORRADO</v>
      </c>
    </row>
    <row r="357" spans="1:9">
      <c r="A357" s="38" t="s">
        <v>355</v>
      </c>
      <c r="B357" s="39" t="str">
        <f>IFERROR(VLOOKUP(9641,Gastos[],2,FALSE),"BORRADO")</f>
        <v>BORRADO</v>
      </c>
      <c r="C357" s="40" t="str">
        <f>IFERROR(VLOOKUP(9641,Gastos[],3,FALSE),"BORRADO")</f>
        <v>BORRADO</v>
      </c>
      <c r="D357" s="41" t="str">
        <f>IFERROR(VLOOKUP(9641,Gastos[],4,FALSE),"BORRADO")</f>
        <v>BORRADO</v>
      </c>
      <c r="E357" s="42" t="str">
        <f>IFERROR(VLOOKUP(9641,Gastos[],5,FALSE),"BORRADO")</f>
        <v>BORRADO</v>
      </c>
      <c r="F357" s="41" t="str">
        <f>IFERROR(VLOOKUP(9641,Gastos[],6,FALSE),"BORRADO")</f>
        <v>BORRADO</v>
      </c>
      <c r="G357" s="40" t="str">
        <f>IFERROR(VLOOKUP(9641,Gastos[],7,FALSE),"BORRADO")</f>
        <v>BORRADO</v>
      </c>
      <c r="H357" s="40" t="str">
        <f>IFERROR(VLOOKUP(9641,Gastos[],8,FALSE),"BORRADO")</f>
        <v>BORRADO</v>
      </c>
      <c r="I357" s="40" t="str">
        <f>IFERROR(VLOOKUP(9641,Gastos[],9,FALSE),"BORRADO")</f>
        <v>BORRADO</v>
      </c>
    </row>
    <row r="358" spans="1:9">
      <c r="A358" s="38" t="s">
        <v>354</v>
      </c>
      <c r="B358" s="39">
        <f>IFERROR(VLOOKUP(3192,Depositos[],2,FALSE),"BORRADO")</f>
        <v>42998</v>
      </c>
      <c r="C358" s="40" t="str">
        <f>IFERROR(VLOOKUP(3192,Depositos[],3,FALSE),"BORRADO")</f>
        <v>RR CHEQUE</v>
      </c>
      <c r="D358" s="41">
        <f>IFERROR(VLOOKUP(3192,Depositos[],4,FALSE),"BORRADO")</f>
        <v>580.82000000000005</v>
      </c>
      <c r="E358" s="42">
        <f>IFERROR(VLOOKUP(3192,Depositos[],5,FALSE),"BORRADO")</f>
        <v>42999</v>
      </c>
      <c r="F358" s="41">
        <f ca="1">IFERROR(VLOOKUP(3192,Depositos[],6,FALSE),"BORRADO")</f>
        <v>236</v>
      </c>
      <c r="G358" s="40" t="str">
        <f>IFERROR(VLOOKUP(3192,Depositos[],7,FALSE),"BORRADO")</f>
        <v>MACRO 44628531</v>
      </c>
      <c r="H358" s="40">
        <f>IFERROR(VLOOKUP(3192,Depositos[],8,FALSE),"BORRADO")</f>
        <v>0</v>
      </c>
      <c r="I358" s="40">
        <f>IFERROR(VLOOKUP(3192,Depositos[],9,FALSE),"BORRADO")</f>
        <v>0</v>
      </c>
    </row>
    <row r="359" spans="1:9">
      <c r="A359" s="38" t="s">
        <v>353</v>
      </c>
      <c r="B359" s="39">
        <f>IFERROR(VLOOKUP(2165,Chequeras[],2,FALSE),"BORRADO")</f>
        <v>42999</v>
      </c>
      <c r="C359" s="40" t="str">
        <f>IFERROR(VLOOKUP(2165,Chequeras[],3,FALSE),"BORRADO")</f>
        <v>01670233</v>
      </c>
      <c r="D359" s="41">
        <f>IFERROR(VLOOKUP(2165,Chequeras[],4,FALSE),"BORRADO")</f>
        <v>0</v>
      </c>
      <c r="E359" s="42">
        <f>IFERROR(VLOOKUP(2165,Chequeras[],5,FALSE),"BORRADO")</f>
        <v>42999</v>
      </c>
      <c r="F359" s="41">
        <f ca="1">IFERROR(VLOOKUP(2165,Chequeras[],6,FALSE),"BORRADO")</f>
        <v>0</v>
      </c>
      <c r="G359" s="40" t="str">
        <f>IFERROR(VLOOKUP(2165,Chequeras[],7,FALSE),"BORRADO")</f>
        <v>Anulado</v>
      </c>
      <c r="H359" s="40" t="str">
        <f>IFERROR(VLOOKUP(2165,Chequeras[],8,FALSE),"BORRADO")</f>
        <v>lh</v>
      </c>
      <c r="I359" s="40">
        <f>IFERROR(VLOOKUP(2165,Chequeras[],9,FALSE),"BORRADO")</f>
        <v>95</v>
      </c>
    </row>
    <row r="360" spans="1:9">
      <c r="A360" s="38" t="s">
        <v>355</v>
      </c>
      <c r="B360" s="39" t="str">
        <f>IFERROR(VLOOKUP(9642,Gastos[],2,FALSE),"BORRADO")</f>
        <v>BORRADO</v>
      </c>
      <c r="C360" s="40" t="str">
        <f>IFERROR(VLOOKUP(9642,Gastos[],3,FALSE),"BORRADO")</f>
        <v>BORRADO</v>
      </c>
      <c r="D360" s="41" t="str">
        <f>IFERROR(VLOOKUP(9642,Gastos[],4,FALSE),"BORRADO")</f>
        <v>BORRADO</v>
      </c>
      <c r="E360" s="42" t="str">
        <f>IFERROR(VLOOKUP(9642,Gastos[],5,FALSE),"BORRADO")</f>
        <v>BORRADO</v>
      </c>
      <c r="F360" s="41" t="str">
        <f>IFERROR(VLOOKUP(9642,Gastos[],6,FALSE),"BORRADO")</f>
        <v>BORRADO</v>
      </c>
      <c r="G360" s="40" t="str">
        <f>IFERROR(VLOOKUP(9642,Gastos[],7,FALSE),"BORRADO")</f>
        <v>BORRADO</v>
      </c>
      <c r="H360" s="40" t="str">
        <f>IFERROR(VLOOKUP(9642,Gastos[],8,FALSE),"BORRADO")</f>
        <v>BORRADO</v>
      </c>
      <c r="I360" s="40" t="str">
        <f>IFERROR(VLOOKUP(9642,Gastos[],9,FALSE),"BORRADO")</f>
        <v>BORRADO</v>
      </c>
    </row>
    <row r="361" spans="1:9">
      <c r="A361" s="38" t="s">
        <v>355</v>
      </c>
      <c r="B361" s="39" t="str">
        <f>IFERROR(VLOOKUP(9643,Gastos[],2,FALSE),"BORRADO")</f>
        <v>BORRADO</v>
      </c>
      <c r="C361" s="40" t="str">
        <f>IFERROR(VLOOKUP(9643,Gastos[],3,FALSE),"BORRADO")</f>
        <v>BORRADO</v>
      </c>
      <c r="D361" s="41" t="str">
        <f>IFERROR(VLOOKUP(9643,Gastos[],4,FALSE),"BORRADO")</f>
        <v>BORRADO</v>
      </c>
      <c r="E361" s="42" t="str">
        <f>IFERROR(VLOOKUP(9643,Gastos[],5,FALSE),"BORRADO")</f>
        <v>BORRADO</v>
      </c>
      <c r="F361" s="41" t="str">
        <f>IFERROR(VLOOKUP(9643,Gastos[],6,FALSE),"BORRADO")</f>
        <v>BORRADO</v>
      </c>
      <c r="G361" s="40" t="str">
        <f>IFERROR(VLOOKUP(9643,Gastos[],7,FALSE),"BORRADO")</f>
        <v>BORRADO</v>
      </c>
      <c r="H361" s="40" t="str">
        <f>IFERROR(VLOOKUP(9643,Gastos[],8,FALSE),"BORRADO")</f>
        <v>BORRADO</v>
      </c>
      <c r="I361" s="40" t="str">
        <f>IFERROR(VLOOKUP(9643,Gastos[],9,FALSE),"BORRADO")</f>
        <v>BORRADO</v>
      </c>
    </row>
    <row r="362" spans="1:9">
      <c r="A362" s="38" t="s">
        <v>355</v>
      </c>
      <c r="B362" s="39" t="str">
        <f>IFERROR(VLOOKUP(9644,Gastos[],2,FALSE),"BORRADO")</f>
        <v>BORRADO</v>
      </c>
      <c r="C362" s="40" t="str">
        <f>IFERROR(VLOOKUP(9644,Gastos[],3,FALSE),"BORRADO")</f>
        <v>BORRADO</v>
      </c>
      <c r="D362" s="41" t="str">
        <f>IFERROR(VLOOKUP(9644,Gastos[],4,FALSE),"BORRADO")</f>
        <v>BORRADO</v>
      </c>
      <c r="E362" s="42" t="str">
        <f>IFERROR(VLOOKUP(9644,Gastos[],5,FALSE),"BORRADO")</f>
        <v>BORRADO</v>
      </c>
      <c r="F362" s="41" t="str">
        <f>IFERROR(VLOOKUP(9644,Gastos[],6,FALSE),"BORRADO")</f>
        <v>BORRADO</v>
      </c>
      <c r="G362" s="40" t="str">
        <f>IFERROR(VLOOKUP(9644,Gastos[],7,FALSE),"BORRADO")</f>
        <v>BORRADO</v>
      </c>
      <c r="H362" s="40" t="str">
        <f>IFERROR(VLOOKUP(9644,Gastos[],8,FALSE),"BORRADO")</f>
        <v>BORRADO</v>
      </c>
      <c r="I362" s="40" t="str">
        <f>IFERROR(VLOOKUP(9644,Gastos[],9,FALSE),"BORRADO")</f>
        <v>BORRADO</v>
      </c>
    </row>
    <row r="363" spans="1:9">
      <c r="A363" s="38" t="s">
        <v>355</v>
      </c>
      <c r="B363" s="39" t="str">
        <f>IFERROR(VLOOKUP(9645,Gastos[],2,FALSE),"BORRADO")</f>
        <v>BORRADO</v>
      </c>
      <c r="C363" s="40" t="str">
        <f>IFERROR(VLOOKUP(9645,Gastos[],3,FALSE),"BORRADO")</f>
        <v>BORRADO</v>
      </c>
      <c r="D363" s="41" t="str">
        <f>IFERROR(VLOOKUP(9645,Gastos[],4,FALSE),"BORRADO")</f>
        <v>BORRADO</v>
      </c>
      <c r="E363" s="42" t="str">
        <f>IFERROR(VLOOKUP(9645,Gastos[],5,FALSE),"BORRADO")</f>
        <v>BORRADO</v>
      </c>
      <c r="F363" s="41" t="str">
        <f>IFERROR(VLOOKUP(9645,Gastos[],6,FALSE),"BORRADO")</f>
        <v>BORRADO</v>
      </c>
      <c r="G363" s="40" t="str">
        <f>IFERROR(VLOOKUP(9645,Gastos[],7,FALSE),"BORRADO")</f>
        <v>BORRADO</v>
      </c>
      <c r="H363" s="40" t="str">
        <f>IFERROR(VLOOKUP(9645,Gastos[],8,FALSE),"BORRADO")</f>
        <v>BORRADO</v>
      </c>
      <c r="I363" s="40" t="str">
        <f>IFERROR(VLOOKUP(9645,Gastos[],9,FALSE),"BORRADO")</f>
        <v>BORRADO</v>
      </c>
    </row>
    <row r="364" spans="1:9">
      <c r="A364" s="38" t="s">
        <v>355</v>
      </c>
      <c r="B364" s="39" t="str">
        <f>IFERROR(VLOOKUP(9646,Gastos[],2,FALSE),"BORRADO")</f>
        <v>BORRADO</v>
      </c>
      <c r="C364" s="40" t="str">
        <f>IFERROR(VLOOKUP(9646,Gastos[],3,FALSE),"BORRADO")</f>
        <v>BORRADO</v>
      </c>
      <c r="D364" s="41" t="str">
        <f>IFERROR(VLOOKUP(9646,Gastos[],4,FALSE),"BORRADO")</f>
        <v>BORRADO</v>
      </c>
      <c r="E364" s="42" t="str">
        <f>IFERROR(VLOOKUP(9646,Gastos[],5,FALSE),"BORRADO")</f>
        <v>BORRADO</v>
      </c>
      <c r="F364" s="41" t="str">
        <f>IFERROR(VLOOKUP(9646,Gastos[],6,FALSE),"BORRADO")</f>
        <v>BORRADO</v>
      </c>
      <c r="G364" s="40" t="str">
        <f>IFERROR(VLOOKUP(9646,Gastos[],7,FALSE),"BORRADO")</f>
        <v>BORRADO</v>
      </c>
      <c r="H364" s="40" t="str">
        <f>IFERROR(VLOOKUP(9646,Gastos[],8,FALSE),"BORRADO")</f>
        <v>BORRADO</v>
      </c>
      <c r="I364" s="40" t="str">
        <f>IFERROR(VLOOKUP(9646,Gastos[],9,FALSE),"BORRADO")</f>
        <v>BORRADO</v>
      </c>
    </row>
    <row r="365" spans="1:9">
      <c r="A365" s="38" t="s">
        <v>355</v>
      </c>
      <c r="B365" s="39" t="str">
        <f>IFERROR(VLOOKUP(9647,Gastos[],2,FALSE),"BORRADO")</f>
        <v>BORRADO</v>
      </c>
      <c r="C365" s="40" t="str">
        <f>IFERROR(VLOOKUP(9647,Gastos[],3,FALSE),"BORRADO")</f>
        <v>BORRADO</v>
      </c>
      <c r="D365" s="41" t="str">
        <f>IFERROR(VLOOKUP(9647,Gastos[],4,FALSE),"BORRADO")</f>
        <v>BORRADO</v>
      </c>
      <c r="E365" s="42" t="str">
        <f>IFERROR(VLOOKUP(9647,Gastos[],5,FALSE),"BORRADO")</f>
        <v>BORRADO</v>
      </c>
      <c r="F365" s="41" t="str">
        <f>IFERROR(VLOOKUP(9647,Gastos[],6,FALSE),"BORRADO")</f>
        <v>BORRADO</v>
      </c>
      <c r="G365" s="40" t="str">
        <f>IFERROR(VLOOKUP(9647,Gastos[],7,FALSE),"BORRADO")</f>
        <v>BORRADO</v>
      </c>
      <c r="H365" s="40" t="str">
        <f>IFERROR(VLOOKUP(9647,Gastos[],8,FALSE),"BORRADO")</f>
        <v>BORRADO</v>
      </c>
      <c r="I365" s="40" t="str">
        <f>IFERROR(VLOOKUP(9647,Gastos[],9,FALSE),"BORRADO")</f>
        <v>BORRADO</v>
      </c>
    </row>
    <row r="366" spans="1:9">
      <c r="A366" s="38" t="s">
        <v>355</v>
      </c>
      <c r="B366" s="39" t="str">
        <f>IFERROR(VLOOKUP(9648,Gastos[],2,FALSE),"BORRADO")</f>
        <v>BORRADO</v>
      </c>
      <c r="C366" s="40" t="str">
        <f>IFERROR(VLOOKUP(9648,Gastos[],3,FALSE),"BORRADO")</f>
        <v>BORRADO</v>
      </c>
      <c r="D366" s="41" t="str">
        <f>IFERROR(VLOOKUP(9648,Gastos[],4,FALSE),"BORRADO")</f>
        <v>BORRADO</v>
      </c>
      <c r="E366" s="42" t="str">
        <f>IFERROR(VLOOKUP(9648,Gastos[],5,FALSE),"BORRADO")</f>
        <v>BORRADO</v>
      </c>
      <c r="F366" s="41" t="str">
        <f>IFERROR(VLOOKUP(9648,Gastos[],6,FALSE),"BORRADO")</f>
        <v>BORRADO</v>
      </c>
      <c r="G366" s="40" t="str">
        <f>IFERROR(VLOOKUP(9648,Gastos[],7,FALSE),"BORRADO")</f>
        <v>BORRADO</v>
      </c>
      <c r="H366" s="40" t="str">
        <f>IFERROR(VLOOKUP(9648,Gastos[],8,FALSE),"BORRADO")</f>
        <v>BORRADO</v>
      </c>
      <c r="I366" s="40" t="str">
        <f>IFERROR(VLOOKUP(9648,Gastos[],9,FALSE),"BORRADO")</f>
        <v>BORRADO</v>
      </c>
    </row>
    <row r="367" spans="1:9">
      <c r="A367" s="38" t="s">
        <v>355</v>
      </c>
      <c r="B367" s="39" t="str">
        <f>IFERROR(VLOOKUP(9649,Gastos[],2,FALSE),"BORRADO")</f>
        <v>BORRADO</v>
      </c>
      <c r="C367" s="40" t="str">
        <f>IFERROR(VLOOKUP(9649,Gastos[],3,FALSE),"BORRADO")</f>
        <v>BORRADO</v>
      </c>
      <c r="D367" s="41" t="str">
        <f>IFERROR(VLOOKUP(9649,Gastos[],4,FALSE),"BORRADO")</f>
        <v>BORRADO</v>
      </c>
      <c r="E367" s="42" t="str">
        <f>IFERROR(VLOOKUP(9649,Gastos[],5,FALSE),"BORRADO")</f>
        <v>BORRADO</v>
      </c>
      <c r="F367" s="41" t="str">
        <f>IFERROR(VLOOKUP(9649,Gastos[],6,FALSE),"BORRADO")</f>
        <v>BORRADO</v>
      </c>
      <c r="G367" s="40" t="str">
        <f>IFERROR(VLOOKUP(9649,Gastos[],7,FALSE),"BORRADO")</f>
        <v>BORRADO</v>
      </c>
      <c r="H367" s="40" t="str">
        <f>IFERROR(VLOOKUP(9649,Gastos[],8,FALSE),"BORRADO")</f>
        <v>BORRADO</v>
      </c>
      <c r="I367" s="40" t="str">
        <f>IFERROR(VLOOKUP(9649,Gastos[],9,FALSE),"BORRADO")</f>
        <v>BORRADO</v>
      </c>
    </row>
    <row r="368" spans="1:9">
      <c r="A368" s="38" t="s">
        <v>353</v>
      </c>
      <c r="B368" s="39">
        <f>IFERROR(VLOOKUP(2143,Chequeras[],2,FALSE),"BORRADO")</f>
        <v>43000</v>
      </c>
      <c r="C368" s="40" t="str">
        <f>IFERROR(VLOOKUP(2143,Chequeras[],3,FALSE),"BORRADO")</f>
        <v>01670208</v>
      </c>
      <c r="D368" s="41">
        <f>IFERROR(VLOOKUP(2143,Chequeras[],4,FALSE),"BORRADO")</f>
        <v>-16900</v>
      </c>
      <c r="E368" s="42">
        <f>IFERROR(VLOOKUP(2143,Chequeras[],5,FALSE),"BORRADO")</f>
        <v>43000</v>
      </c>
      <c r="F368" s="41">
        <f ca="1">IFERROR(VLOOKUP(2143,Chequeras[],6,FALSE),"BORRADO")</f>
        <v>5861</v>
      </c>
      <c r="G368" s="40" t="str">
        <f>IFERROR(VLOOKUP(2143,Chequeras[],7,FALSE),"BORRADO")</f>
        <v>Camaras Radio</v>
      </c>
      <c r="H368" s="40" t="str">
        <f>IFERROR(VLOOKUP(2143,Chequeras[],8,FALSE),"BORRADO")</f>
        <v>lh</v>
      </c>
      <c r="I368" s="40">
        <f>IFERROR(VLOOKUP(2143,Chequeras[],9,FALSE),"BORRADO")</f>
        <v>94</v>
      </c>
    </row>
    <row r="369" spans="1:9">
      <c r="A369" s="38" t="s">
        <v>353</v>
      </c>
      <c r="B369" s="39">
        <f>IFERROR(VLOOKUP(2144,Chequeras[],2,FALSE),"BORRADO")</f>
        <v>43000</v>
      </c>
      <c r="C369" s="40" t="str">
        <f>IFERROR(VLOOKUP(2144,Chequeras[],3,FALSE),"BORRADO")</f>
        <v>01670209</v>
      </c>
      <c r="D369" s="41">
        <f>IFERROR(VLOOKUP(2144,Chequeras[],4,FALSE),"BORRADO")</f>
        <v>0</v>
      </c>
      <c r="E369" s="42">
        <f>IFERROR(VLOOKUP(2144,Chequeras[],5,FALSE),"BORRADO")</f>
        <v>43000</v>
      </c>
      <c r="F369" s="41">
        <f ca="1">IFERROR(VLOOKUP(2144,Chequeras[],6,FALSE),"BORRADO")</f>
        <v>0</v>
      </c>
      <c r="G369" s="40" t="str">
        <f>IFERROR(VLOOKUP(2144,Chequeras[],7,FALSE),"BORRADO")</f>
        <v>Anulado</v>
      </c>
      <c r="H369" s="40" t="str">
        <f>IFERROR(VLOOKUP(2144,Chequeras[],8,FALSE),"BORRADO")</f>
        <v>lh</v>
      </c>
      <c r="I369" s="40">
        <f>IFERROR(VLOOKUP(2144,Chequeras[],9,FALSE),"BORRADO")</f>
        <v>94</v>
      </c>
    </row>
    <row r="370" spans="1:9">
      <c r="A370" s="38" t="s">
        <v>353</v>
      </c>
      <c r="B370" s="39">
        <f>IFERROR(VLOOKUP(2145,Chequeras[],2,FALSE),"BORRADO")</f>
        <v>43000</v>
      </c>
      <c r="C370" s="40" t="str">
        <f>IFERROR(VLOOKUP(2145,Chequeras[],3,FALSE),"BORRADO")</f>
        <v>01670210</v>
      </c>
      <c r="D370" s="41">
        <f>IFERROR(VLOOKUP(2145,Chequeras[],4,FALSE),"BORRADO")</f>
        <v>0</v>
      </c>
      <c r="E370" s="42">
        <f>IFERROR(VLOOKUP(2145,Chequeras[],5,FALSE),"BORRADO")</f>
        <v>43000</v>
      </c>
      <c r="F370" s="41">
        <f ca="1">IFERROR(VLOOKUP(2145,Chequeras[],6,FALSE),"BORRADO")</f>
        <v>0</v>
      </c>
      <c r="G370" s="40" t="str">
        <f>IFERROR(VLOOKUP(2145,Chequeras[],7,FALSE),"BORRADO")</f>
        <v>Anulado</v>
      </c>
      <c r="H370" s="40" t="str">
        <f>IFERROR(VLOOKUP(2145,Chequeras[],8,FALSE),"BORRADO")</f>
        <v>lh</v>
      </c>
      <c r="I370" s="40">
        <f>IFERROR(VLOOKUP(2145,Chequeras[],9,FALSE),"BORRADO")</f>
        <v>94</v>
      </c>
    </row>
    <row r="371" spans="1:9">
      <c r="A371" s="38" t="s">
        <v>355</v>
      </c>
      <c r="B371" s="39" t="str">
        <f>IFERROR(VLOOKUP(9650,Gastos[],2,FALSE),"BORRADO")</f>
        <v>BORRADO</v>
      </c>
      <c r="C371" s="40" t="str">
        <f>IFERROR(VLOOKUP(9650,Gastos[],3,FALSE),"BORRADO")</f>
        <v>BORRADO</v>
      </c>
      <c r="D371" s="41" t="str">
        <f>IFERROR(VLOOKUP(9650,Gastos[],4,FALSE),"BORRADO")</f>
        <v>BORRADO</v>
      </c>
      <c r="E371" s="42" t="str">
        <f>IFERROR(VLOOKUP(9650,Gastos[],5,FALSE),"BORRADO")</f>
        <v>BORRADO</v>
      </c>
      <c r="F371" s="41" t="str">
        <f>IFERROR(VLOOKUP(9650,Gastos[],6,FALSE),"BORRADO")</f>
        <v>BORRADO</v>
      </c>
      <c r="G371" s="40" t="str">
        <f>IFERROR(VLOOKUP(9650,Gastos[],7,FALSE),"BORRADO")</f>
        <v>BORRADO</v>
      </c>
      <c r="H371" s="40" t="str">
        <f>IFERROR(VLOOKUP(9650,Gastos[],8,FALSE),"BORRADO")</f>
        <v>BORRADO</v>
      </c>
      <c r="I371" s="40" t="str">
        <f>IFERROR(VLOOKUP(9650,Gastos[],9,FALSE),"BORRADO")</f>
        <v>BORRADO</v>
      </c>
    </row>
    <row r="372" spans="1:9">
      <c r="A372" s="38" t="s">
        <v>353</v>
      </c>
      <c r="B372" s="39">
        <f>IFERROR(VLOOKUP(2146,Chequeras[],2,FALSE),"BORRADO")</f>
        <v>43000</v>
      </c>
      <c r="C372" s="40" t="str">
        <f>IFERROR(VLOOKUP(2146,Chequeras[],3,FALSE),"BORRADO")</f>
        <v>01670211</v>
      </c>
      <c r="D372" s="41">
        <f>IFERROR(VLOOKUP(2146,Chequeras[],4,FALSE),"BORRADO")</f>
        <v>-6000</v>
      </c>
      <c r="E372" s="42">
        <f>IFERROR(VLOOKUP(2146,Chequeras[],5,FALSE),"BORRADO")</f>
        <v>43003</v>
      </c>
      <c r="F372" s="41">
        <f ca="1">IFERROR(VLOOKUP(2146,Chequeras[],6,FALSE),"BORRADO")</f>
        <v>373</v>
      </c>
      <c r="G372" s="40" t="str">
        <f>IFERROR(VLOOKUP(2146,Chequeras[],7,FALSE),"BORRADO")</f>
        <v xml:space="preserve">Dante Velazquez </v>
      </c>
      <c r="H372" s="40" t="str">
        <f>IFERROR(VLOOKUP(2146,Chequeras[],8,FALSE),"BORRADO")</f>
        <v>lh</v>
      </c>
      <c r="I372" s="40">
        <f>IFERROR(VLOOKUP(2146,Chequeras[],9,FALSE),"BORRADO")</f>
        <v>94</v>
      </c>
    </row>
    <row r="373" spans="1:9">
      <c r="A373" s="38" t="s">
        <v>354</v>
      </c>
      <c r="B373" s="39">
        <f>IFERROR(VLOOKUP(3193,Depositos[],2,FALSE),"BORRADO")</f>
        <v>43000</v>
      </c>
      <c r="C373" s="40" t="str">
        <f>IFERROR(VLOOKUP(3193,Depositos[],3,FALSE),"BORRADO")</f>
        <v>RR CHEQUE</v>
      </c>
      <c r="D373" s="41">
        <f>IFERROR(VLOOKUP(3193,Depositos[],4,FALSE),"BORRADO")</f>
        <v>15715.29</v>
      </c>
      <c r="E373" s="42">
        <f>IFERROR(VLOOKUP(3193,Depositos[],5,FALSE),"BORRADO")</f>
        <v>43003</v>
      </c>
      <c r="F373" s="41">
        <f ca="1">IFERROR(VLOOKUP(3193,Depositos[],6,FALSE),"BORRADO")</f>
        <v>4799</v>
      </c>
      <c r="G373" s="40" t="str">
        <f>IFERROR(VLOOKUP(3193,Depositos[],7,FALSE),"BORRADO")</f>
        <v>INDUSTRIAL 13218013</v>
      </c>
      <c r="H373" s="40">
        <f>IFERROR(VLOOKUP(3193,Depositos[],8,FALSE),"BORRADO")</f>
        <v>0</v>
      </c>
      <c r="I373" s="40">
        <f>IFERROR(VLOOKUP(3193,Depositos[],9,FALSE),"BORRADO")</f>
        <v>0</v>
      </c>
    </row>
    <row r="374" spans="1:9">
      <c r="A374" s="38" t="s">
        <v>354</v>
      </c>
      <c r="B374" s="39">
        <f>IFERROR(VLOOKUP(3195,Depositos[],2,FALSE),"BORRADO")</f>
        <v>43003</v>
      </c>
      <c r="C374" s="40" t="str">
        <f>IFERROR(VLOOKUP(3195,Depositos[],3,FALSE),"BORRADO")</f>
        <v>EFECTIVO</v>
      </c>
      <c r="D374" s="41">
        <f>IFERROR(VLOOKUP(3195,Depositos[],4,FALSE),"BORRADO")</f>
        <v>50000</v>
      </c>
      <c r="E374" s="42">
        <f>IFERROR(VLOOKUP(3195,Depositos[],5,FALSE),"BORRADO")</f>
        <v>43003</v>
      </c>
      <c r="F374" s="41">
        <f ca="1">IFERROR(VLOOKUP(3195,Depositos[],6,FALSE),"BORRADO")</f>
        <v>47789</v>
      </c>
      <c r="G374" s="40" t="str">
        <f>IFERROR(VLOOKUP(3195,Depositos[],7,FALSE),"BORRADO")</f>
        <v>EFECTIVO RR</v>
      </c>
      <c r="H374" s="40">
        <f>IFERROR(VLOOKUP(3195,Depositos[],8,FALSE),"BORRADO")</f>
        <v>0</v>
      </c>
      <c r="I374" s="40">
        <f>IFERROR(VLOOKUP(3195,Depositos[],9,FALSE),"BORRADO")</f>
        <v>0</v>
      </c>
    </row>
    <row r="375" spans="1:9">
      <c r="A375" s="38" t="s">
        <v>355</v>
      </c>
      <c r="B375" s="39" t="str">
        <f>IFERROR(VLOOKUP(9651,Gastos[],2,FALSE),"BORRADO")</f>
        <v>BORRADO</v>
      </c>
      <c r="C375" s="40" t="str">
        <f>IFERROR(VLOOKUP(9651,Gastos[],3,FALSE),"BORRADO")</f>
        <v>BORRADO</v>
      </c>
      <c r="D375" s="41" t="str">
        <f>IFERROR(VLOOKUP(9651,Gastos[],4,FALSE),"BORRADO")</f>
        <v>BORRADO</v>
      </c>
      <c r="E375" s="42" t="str">
        <f>IFERROR(VLOOKUP(9651,Gastos[],5,FALSE),"BORRADO")</f>
        <v>BORRADO</v>
      </c>
      <c r="F375" s="41" t="str">
        <f>IFERROR(VLOOKUP(9651,Gastos[],6,FALSE),"BORRADO")</f>
        <v>BORRADO</v>
      </c>
      <c r="G375" s="40" t="str">
        <f>IFERROR(VLOOKUP(9651,Gastos[],7,FALSE),"BORRADO")</f>
        <v>BORRADO</v>
      </c>
      <c r="H375" s="40" t="str">
        <f>IFERROR(VLOOKUP(9651,Gastos[],8,FALSE),"BORRADO")</f>
        <v>BORRADO</v>
      </c>
      <c r="I375" s="40" t="str">
        <f>IFERROR(VLOOKUP(9651,Gastos[],9,FALSE),"BORRADO")</f>
        <v>BORRADO</v>
      </c>
    </row>
    <row r="376" spans="1:9">
      <c r="A376" s="38" t="s">
        <v>355</v>
      </c>
      <c r="B376" s="39" t="str">
        <f>IFERROR(VLOOKUP(9652,Gastos[],2,FALSE),"BORRADO")</f>
        <v>BORRADO</v>
      </c>
      <c r="C376" s="40" t="str">
        <f>IFERROR(VLOOKUP(9652,Gastos[],3,FALSE),"BORRADO")</f>
        <v>BORRADO</v>
      </c>
      <c r="D376" s="41" t="str">
        <f>IFERROR(VLOOKUP(9652,Gastos[],4,FALSE),"BORRADO")</f>
        <v>BORRADO</v>
      </c>
      <c r="E376" s="42" t="str">
        <f>IFERROR(VLOOKUP(9652,Gastos[],5,FALSE),"BORRADO")</f>
        <v>BORRADO</v>
      </c>
      <c r="F376" s="41" t="str">
        <f>IFERROR(VLOOKUP(9652,Gastos[],6,FALSE),"BORRADO")</f>
        <v>BORRADO</v>
      </c>
      <c r="G376" s="40" t="str">
        <f>IFERROR(VLOOKUP(9652,Gastos[],7,FALSE),"BORRADO")</f>
        <v>BORRADO</v>
      </c>
      <c r="H376" s="40" t="str">
        <f>IFERROR(VLOOKUP(9652,Gastos[],8,FALSE),"BORRADO")</f>
        <v>BORRADO</v>
      </c>
      <c r="I376" s="40" t="str">
        <f>IFERROR(VLOOKUP(9652,Gastos[],9,FALSE),"BORRADO")</f>
        <v>BORRADO</v>
      </c>
    </row>
    <row r="377" spans="1:9">
      <c r="A377" s="38" t="s">
        <v>355</v>
      </c>
      <c r="B377" s="39" t="str">
        <f>IFERROR(VLOOKUP(9653,Gastos[],2,FALSE),"BORRADO")</f>
        <v>BORRADO</v>
      </c>
      <c r="C377" s="40" t="str">
        <f>IFERROR(VLOOKUP(9653,Gastos[],3,FALSE),"BORRADO")</f>
        <v>BORRADO</v>
      </c>
      <c r="D377" s="41" t="str">
        <f>IFERROR(VLOOKUP(9653,Gastos[],4,FALSE),"BORRADO")</f>
        <v>BORRADO</v>
      </c>
      <c r="E377" s="42" t="str">
        <f>IFERROR(VLOOKUP(9653,Gastos[],5,FALSE),"BORRADO")</f>
        <v>BORRADO</v>
      </c>
      <c r="F377" s="41" t="str">
        <f>IFERROR(VLOOKUP(9653,Gastos[],6,FALSE),"BORRADO")</f>
        <v>BORRADO</v>
      </c>
      <c r="G377" s="40" t="str">
        <f>IFERROR(VLOOKUP(9653,Gastos[],7,FALSE),"BORRADO")</f>
        <v>BORRADO</v>
      </c>
      <c r="H377" s="40" t="str">
        <f>IFERROR(VLOOKUP(9653,Gastos[],8,FALSE),"BORRADO")</f>
        <v>BORRADO</v>
      </c>
      <c r="I377" s="40" t="str">
        <f>IFERROR(VLOOKUP(9653,Gastos[],9,FALSE),"BORRADO")</f>
        <v>BORRADO</v>
      </c>
    </row>
    <row r="378" spans="1:9">
      <c r="A378" s="38" t="s">
        <v>355</v>
      </c>
      <c r="B378" s="39" t="str">
        <f>IFERROR(VLOOKUP(9654,Gastos[],2,FALSE),"BORRADO")</f>
        <v>BORRADO</v>
      </c>
      <c r="C378" s="40" t="str">
        <f>IFERROR(VLOOKUP(9654,Gastos[],3,FALSE),"BORRADO")</f>
        <v>BORRADO</v>
      </c>
      <c r="D378" s="41" t="str">
        <f>IFERROR(VLOOKUP(9654,Gastos[],4,FALSE),"BORRADO")</f>
        <v>BORRADO</v>
      </c>
      <c r="E378" s="42" t="str">
        <f>IFERROR(VLOOKUP(9654,Gastos[],5,FALSE),"BORRADO")</f>
        <v>BORRADO</v>
      </c>
      <c r="F378" s="41" t="str">
        <f>IFERROR(VLOOKUP(9654,Gastos[],6,FALSE),"BORRADO")</f>
        <v>BORRADO</v>
      </c>
      <c r="G378" s="40" t="str">
        <f>IFERROR(VLOOKUP(9654,Gastos[],7,FALSE),"BORRADO")</f>
        <v>BORRADO</v>
      </c>
      <c r="H378" s="40" t="str">
        <f>IFERROR(VLOOKUP(9654,Gastos[],8,FALSE),"BORRADO")</f>
        <v>BORRADO</v>
      </c>
      <c r="I378" s="40" t="str">
        <f>IFERROR(VLOOKUP(9654,Gastos[],9,FALSE),"BORRADO")</f>
        <v>BORRADO</v>
      </c>
    </row>
    <row r="379" spans="1:9">
      <c r="A379" s="38" t="s">
        <v>355</v>
      </c>
      <c r="B379" s="39" t="str">
        <f>IFERROR(VLOOKUP(9655,Gastos[],2,FALSE),"BORRADO")</f>
        <v>BORRADO</v>
      </c>
      <c r="C379" s="40" t="str">
        <f>IFERROR(VLOOKUP(9655,Gastos[],3,FALSE),"BORRADO")</f>
        <v>BORRADO</v>
      </c>
      <c r="D379" s="41" t="str">
        <f>IFERROR(VLOOKUP(9655,Gastos[],4,FALSE),"BORRADO")</f>
        <v>BORRADO</v>
      </c>
      <c r="E379" s="42" t="str">
        <f>IFERROR(VLOOKUP(9655,Gastos[],5,FALSE),"BORRADO")</f>
        <v>BORRADO</v>
      </c>
      <c r="F379" s="41" t="str">
        <f>IFERROR(VLOOKUP(9655,Gastos[],6,FALSE),"BORRADO")</f>
        <v>BORRADO</v>
      </c>
      <c r="G379" s="40" t="str">
        <f>IFERROR(VLOOKUP(9655,Gastos[],7,FALSE),"BORRADO")</f>
        <v>BORRADO</v>
      </c>
      <c r="H379" s="40" t="str">
        <f>IFERROR(VLOOKUP(9655,Gastos[],8,FALSE),"BORRADO")</f>
        <v>BORRADO</v>
      </c>
      <c r="I379" s="40" t="str">
        <f>IFERROR(VLOOKUP(9655,Gastos[],9,FALSE),"BORRADO")</f>
        <v>BORRADO</v>
      </c>
    </row>
    <row r="380" spans="1:9">
      <c r="A380" s="38" t="s">
        <v>355</v>
      </c>
      <c r="B380" s="39" t="str">
        <f>IFERROR(VLOOKUP(9656,Gastos[],2,FALSE),"BORRADO")</f>
        <v>BORRADO</v>
      </c>
      <c r="C380" s="40" t="str">
        <f>IFERROR(VLOOKUP(9656,Gastos[],3,FALSE),"BORRADO")</f>
        <v>BORRADO</v>
      </c>
      <c r="D380" s="41" t="str">
        <f>IFERROR(VLOOKUP(9656,Gastos[],4,FALSE),"BORRADO")</f>
        <v>BORRADO</v>
      </c>
      <c r="E380" s="42" t="str">
        <f>IFERROR(VLOOKUP(9656,Gastos[],5,FALSE),"BORRADO")</f>
        <v>BORRADO</v>
      </c>
      <c r="F380" s="41" t="str">
        <f>IFERROR(VLOOKUP(9656,Gastos[],6,FALSE),"BORRADO")</f>
        <v>BORRADO</v>
      </c>
      <c r="G380" s="40" t="str">
        <f>IFERROR(VLOOKUP(9656,Gastos[],7,FALSE),"BORRADO")</f>
        <v>BORRADO</v>
      </c>
      <c r="H380" s="40" t="str">
        <f>IFERROR(VLOOKUP(9656,Gastos[],8,FALSE),"BORRADO")</f>
        <v>BORRADO</v>
      </c>
      <c r="I380" s="40" t="str">
        <f>IFERROR(VLOOKUP(9656,Gastos[],9,FALSE),"BORRADO")</f>
        <v>BORRADO</v>
      </c>
    </row>
    <row r="381" spans="1:9">
      <c r="A381" s="38" t="s">
        <v>355</v>
      </c>
      <c r="B381" s="39" t="str">
        <f>IFERROR(VLOOKUP(9657,Gastos[],2,FALSE),"BORRADO")</f>
        <v>BORRADO</v>
      </c>
      <c r="C381" s="40" t="str">
        <f>IFERROR(VLOOKUP(9657,Gastos[],3,FALSE),"BORRADO")</f>
        <v>BORRADO</v>
      </c>
      <c r="D381" s="41" t="str">
        <f>IFERROR(VLOOKUP(9657,Gastos[],4,FALSE),"BORRADO")</f>
        <v>BORRADO</v>
      </c>
      <c r="E381" s="42" t="str">
        <f>IFERROR(VLOOKUP(9657,Gastos[],5,FALSE),"BORRADO")</f>
        <v>BORRADO</v>
      </c>
      <c r="F381" s="41" t="str">
        <f>IFERROR(VLOOKUP(9657,Gastos[],6,FALSE),"BORRADO")</f>
        <v>BORRADO</v>
      </c>
      <c r="G381" s="40" t="str">
        <f>IFERROR(VLOOKUP(9657,Gastos[],7,FALSE),"BORRADO")</f>
        <v>BORRADO</v>
      </c>
      <c r="H381" s="40" t="str">
        <f>IFERROR(VLOOKUP(9657,Gastos[],8,FALSE),"BORRADO")</f>
        <v>BORRADO</v>
      </c>
      <c r="I381" s="40" t="str">
        <f>IFERROR(VLOOKUP(9657,Gastos[],9,FALSE),"BORRADO")</f>
        <v>BORRADO</v>
      </c>
    </row>
    <row r="382" spans="1:9">
      <c r="A382" s="38" t="s">
        <v>355</v>
      </c>
      <c r="B382" s="39" t="str">
        <f>IFERROR(VLOOKUP(9658,Gastos[],2,FALSE),"BORRADO")</f>
        <v>BORRADO</v>
      </c>
      <c r="C382" s="40" t="str">
        <f>IFERROR(VLOOKUP(9658,Gastos[],3,FALSE),"BORRADO")</f>
        <v>BORRADO</v>
      </c>
      <c r="D382" s="41" t="str">
        <f>IFERROR(VLOOKUP(9658,Gastos[],4,FALSE),"BORRADO")</f>
        <v>BORRADO</v>
      </c>
      <c r="E382" s="42" t="str">
        <f>IFERROR(VLOOKUP(9658,Gastos[],5,FALSE),"BORRADO")</f>
        <v>BORRADO</v>
      </c>
      <c r="F382" s="41" t="str">
        <f>IFERROR(VLOOKUP(9658,Gastos[],6,FALSE),"BORRADO")</f>
        <v>BORRADO</v>
      </c>
      <c r="G382" s="40" t="str">
        <f>IFERROR(VLOOKUP(9658,Gastos[],7,FALSE),"BORRADO")</f>
        <v>BORRADO</v>
      </c>
      <c r="H382" s="40" t="str">
        <f>IFERROR(VLOOKUP(9658,Gastos[],8,FALSE),"BORRADO")</f>
        <v>BORRADO</v>
      </c>
      <c r="I382" s="40" t="str">
        <f>IFERROR(VLOOKUP(9658,Gastos[],9,FALSE),"BORRADO")</f>
        <v>BORRADO</v>
      </c>
    </row>
    <row r="383" spans="1:9">
      <c r="A383" s="38" t="s">
        <v>355</v>
      </c>
      <c r="B383" s="39" t="str">
        <f>IFERROR(VLOOKUP(9659,Gastos[],2,FALSE),"BORRADO")</f>
        <v>BORRADO</v>
      </c>
      <c r="C383" s="40" t="str">
        <f>IFERROR(VLOOKUP(9659,Gastos[],3,FALSE),"BORRADO")</f>
        <v>BORRADO</v>
      </c>
      <c r="D383" s="41" t="str">
        <f>IFERROR(VLOOKUP(9659,Gastos[],4,FALSE),"BORRADO")</f>
        <v>BORRADO</v>
      </c>
      <c r="E383" s="42" t="str">
        <f>IFERROR(VLOOKUP(9659,Gastos[],5,FALSE),"BORRADO")</f>
        <v>BORRADO</v>
      </c>
      <c r="F383" s="41" t="str">
        <f>IFERROR(VLOOKUP(9659,Gastos[],6,FALSE),"BORRADO")</f>
        <v>BORRADO</v>
      </c>
      <c r="G383" s="40" t="str">
        <f>IFERROR(VLOOKUP(9659,Gastos[],7,FALSE),"BORRADO")</f>
        <v>BORRADO</v>
      </c>
      <c r="H383" s="40" t="str">
        <f>IFERROR(VLOOKUP(9659,Gastos[],8,FALSE),"BORRADO")</f>
        <v>BORRADO</v>
      </c>
      <c r="I383" s="40" t="str">
        <f>IFERROR(VLOOKUP(9659,Gastos[],9,FALSE),"BORRADO")</f>
        <v>BORRADO</v>
      </c>
    </row>
    <row r="384" spans="1:9">
      <c r="A384" s="38" t="s">
        <v>355</v>
      </c>
      <c r="B384" s="39" t="str">
        <f>IFERROR(VLOOKUP(9660,Gastos[],2,FALSE),"BORRADO")</f>
        <v>BORRADO</v>
      </c>
      <c r="C384" s="40" t="str">
        <f>IFERROR(VLOOKUP(9660,Gastos[],3,FALSE),"BORRADO")</f>
        <v>BORRADO</v>
      </c>
      <c r="D384" s="41" t="str">
        <f>IFERROR(VLOOKUP(9660,Gastos[],4,FALSE),"BORRADO")</f>
        <v>BORRADO</v>
      </c>
      <c r="E384" s="42" t="str">
        <f>IFERROR(VLOOKUP(9660,Gastos[],5,FALSE),"BORRADO")</f>
        <v>BORRADO</v>
      </c>
      <c r="F384" s="41" t="str">
        <f>IFERROR(VLOOKUP(9660,Gastos[],6,FALSE),"BORRADO")</f>
        <v>BORRADO</v>
      </c>
      <c r="G384" s="40" t="str">
        <f>IFERROR(VLOOKUP(9660,Gastos[],7,FALSE),"BORRADO")</f>
        <v>BORRADO</v>
      </c>
      <c r="H384" s="40" t="str">
        <f>IFERROR(VLOOKUP(9660,Gastos[],8,FALSE),"BORRADO")</f>
        <v>BORRADO</v>
      </c>
      <c r="I384" s="40" t="str">
        <f>IFERROR(VLOOKUP(9660,Gastos[],9,FALSE),"BORRADO")</f>
        <v>BORRADO</v>
      </c>
    </row>
    <row r="385" spans="1:9">
      <c r="A385" s="38" t="s">
        <v>353</v>
      </c>
      <c r="B385" s="39">
        <f>IFERROR(VLOOKUP(2147,Chequeras[],2,FALSE),"BORRADO")</f>
        <v>43003</v>
      </c>
      <c r="C385" s="40" t="str">
        <f>IFERROR(VLOOKUP(2147,Chequeras[],3,FALSE),"BORRADO")</f>
        <v>01670213</v>
      </c>
      <c r="D385" s="41">
        <f>IFERROR(VLOOKUP(2147,Chequeras[],4,FALSE),"BORRADO")</f>
        <v>-2934</v>
      </c>
      <c r="E385" s="42">
        <f>IFERROR(VLOOKUP(2147,Chequeras[],5,FALSE),"BORRADO")</f>
        <v>43018</v>
      </c>
      <c r="F385" s="41">
        <f ca="1">IFERROR(VLOOKUP(2147,Chequeras[],6,FALSE),"BORRADO")</f>
        <v>2460</v>
      </c>
      <c r="G385" s="40" t="str">
        <f>IFERROR(VLOOKUP(2147,Chequeras[],7,FALSE),"BORRADO")</f>
        <v>Sur SRL</v>
      </c>
      <c r="H385" s="40" t="str">
        <f>IFERROR(VLOOKUP(2147,Chequeras[],8,FALSE),"BORRADO")</f>
        <v>lh</v>
      </c>
      <c r="I385" s="40">
        <f>IFERROR(VLOOKUP(2147,Chequeras[],9,FALSE),"BORRADO")</f>
        <v>94</v>
      </c>
    </row>
    <row r="386" spans="1:9">
      <c r="A386" s="38" t="s">
        <v>355</v>
      </c>
      <c r="B386" s="39" t="str">
        <f>IFERROR(VLOOKUP(9661,Gastos[],2,FALSE),"BORRADO")</f>
        <v>BORRADO</v>
      </c>
      <c r="C386" s="40" t="str">
        <f>IFERROR(VLOOKUP(9661,Gastos[],3,FALSE),"BORRADO")</f>
        <v>BORRADO</v>
      </c>
      <c r="D386" s="41" t="str">
        <f>IFERROR(VLOOKUP(9661,Gastos[],4,FALSE),"BORRADO")</f>
        <v>BORRADO</v>
      </c>
      <c r="E386" s="42" t="str">
        <f>IFERROR(VLOOKUP(9661,Gastos[],5,FALSE),"BORRADO")</f>
        <v>BORRADO</v>
      </c>
      <c r="F386" s="41" t="str">
        <f>IFERROR(VLOOKUP(9661,Gastos[],6,FALSE),"BORRADO")</f>
        <v>BORRADO</v>
      </c>
      <c r="G386" s="40" t="str">
        <f>IFERROR(VLOOKUP(9661,Gastos[],7,FALSE),"BORRADO")</f>
        <v>BORRADO</v>
      </c>
      <c r="H386" s="40" t="str">
        <f>IFERROR(VLOOKUP(9661,Gastos[],8,FALSE),"BORRADO")</f>
        <v>BORRADO</v>
      </c>
      <c r="I386" s="40" t="str">
        <f>IFERROR(VLOOKUP(9661,Gastos[],9,FALSE),"BORRADO")</f>
        <v>BORRADO</v>
      </c>
    </row>
    <row r="387" spans="1:9">
      <c r="A387" s="38" t="s">
        <v>355</v>
      </c>
      <c r="B387" s="39" t="str">
        <f>IFERROR(VLOOKUP(9662,Gastos[],2,FALSE),"BORRADO")</f>
        <v>BORRADO</v>
      </c>
      <c r="C387" s="40" t="str">
        <f>IFERROR(VLOOKUP(9662,Gastos[],3,FALSE),"BORRADO")</f>
        <v>BORRADO</v>
      </c>
      <c r="D387" s="41" t="str">
        <f>IFERROR(VLOOKUP(9662,Gastos[],4,FALSE),"BORRADO")</f>
        <v>BORRADO</v>
      </c>
      <c r="E387" s="42" t="str">
        <f>IFERROR(VLOOKUP(9662,Gastos[],5,FALSE),"BORRADO")</f>
        <v>BORRADO</v>
      </c>
      <c r="F387" s="41" t="str">
        <f>IFERROR(VLOOKUP(9662,Gastos[],6,FALSE),"BORRADO")</f>
        <v>BORRADO</v>
      </c>
      <c r="G387" s="40" t="str">
        <f>IFERROR(VLOOKUP(9662,Gastos[],7,FALSE),"BORRADO")</f>
        <v>BORRADO</v>
      </c>
      <c r="H387" s="40" t="str">
        <f>IFERROR(VLOOKUP(9662,Gastos[],8,FALSE),"BORRADO")</f>
        <v>BORRADO</v>
      </c>
      <c r="I387" s="40" t="str">
        <f>IFERROR(VLOOKUP(9662,Gastos[],9,FALSE),"BORRADO")</f>
        <v>BORRADO</v>
      </c>
    </row>
    <row r="388" spans="1:9">
      <c r="A388" s="38" t="s">
        <v>355</v>
      </c>
      <c r="B388" s="39" t="str">
        <f>IFERROR(VLOOKUP(9663,Gastos[],2,FALSE),"BORRADO")</f>
        <v>BORRADO</v>
      </c>
      <c r="C388" s="40" t="str">
        <f>IFERROR(VLOOKUP(9663,Gastos[],3,FALSE),"BORRADO")</f>
        <v>BORRADO</v>
      </c>
      <c r="D388" s="41" t="str">
        <f>IFERROR(VLOOKUP(9663,Gastos[],4,FALSE),"BORRADO")</f>
        <v>BORRADO</v>
      </c>
      <c r="E388" s="42" t="str">
        <f>IFERROR(VLOOKUP(9663,Gastos[],5,FALSE),"BORRADO")</f>
        <v>BORRADO</v>
      </c>
      <c r="F388" s="41" t="str">
        <f>IFERROR(VLOOKUP(9663,Gastos[],6,FALSE),"BORRADO")</f>
        <v>BORRADO</v>
      </c>
      <c r="G388" s="40" t="str">
        <f>IFERROR(VLOOKUP(9663,Gastos[],7,FALSE),"BORRADO")</f>
        <v>BORRADO</v>
      </c>
      <c r="H388" s="40" t="str">
        <f>IFERROR(VLOOKUP(9663,Gastos[],8,FALSE),"BORRADO")</f>
        <v>BORRADO</v>
      </c>
      <c r="I388" s="40" t="str">
        <f>IFERROR(VLOOKUP(9663,Gastos[],9,FALSE),"BORRADO")</f>
        <v>BORRADO</v>
      </c>
    </row>
    <row r="389" spans="1:9">
      <c r="A389" s="38" t="s">
        <v>355</v>
      </c>
      <c r="B389" s="39" t="str">
        <f>IFERROR(VLOOKUP(9664,Gastos[],2,FALSE),"BORRADO")</f>
        <v>BORRADO</v>
      </c>
      <c r="C389" s="40" t="str">
        <f>IFERROR(VLOOKUP(9664,Gastos[],3,FALSE),"BORRADO")</f>
        <v>BORRADO</v>
      </c>
      <c r="D389" s="41" t="str">
        <f>IFERROR(VLOOKUP(9664,Gastos[],4,FALSE),"BORRADO")</f>
        <v>BORRADO</v>
      </c>
      <c r="E389" s="42" t="str">
        <f>IFERROR(VLOOKUP(9664,Gastos[],5,FALSE),"BORRADO")</f>
        <v>BORRADO</v>
      </c>
      <c r="F389" s="41" t="str">
        <f>IFERROR(VLOOKUP(9664,Gastos[],6,FALSE),"BORRADO")</f>
        <v>BORRADO</v>
      </c>
      <c r="G389" s="40" t="str">
        <f>IFERROR(VLOOKUP(9664,Gastos[],7,FALSE),"BORRADO")</f>
        <v>BORRADO</v>
      </c>
      <c r="H389" s="40" t="str">
        <f>IFERROR(VLOOKUP(9664,Gastos[],8,FALSE),"BORRADO")</f>
        <v>BORRADO</v>
      </c>
      <c r="I389" s="40" t="str">
        <f>IFERROR(VLOOKUP(9664,Gastos[],9,FALSE),"BORRADO")</f>
        <v>BORRADO</v>
      </c>
    </row>
    <row r="390" spans="1:9">
      <c r="A390" s="38" t="s">
        <v>354</v>
      </c>
      <c r="B390" s="39">
        <f>IFERROR(VLOOKUP(3196,Depositos[],2,FALSE),"BORRADO")</f>
        <v>43004</v>
      </c>
      <c r="C390" s="40" t="str">
        <f>IFERROR(VLOOKUP(3196,Depositos[],3,FALSE),"BORRADO")</f>
        <v>RR CHEQUE</v>
      </c>
      <c r="D390" s="41">
        <f>IFERROR(VLOOKUP(3196,Depositos[],4,FALSE),"BORRADO")</f>
        <v>50000</v>
      </c>
      <c r="E390" s="42">
        <f>IFERROR(VLOOKUP(3196,Depositos[],5,FALSE),"BORRADO")</f>
        <v>43005</v>
      </c>
      <c r="F390" s="41">
        <f ca="1">IFERROR(VLOOKUP(3196,Depositos[],6,FALSE),"BORRADO")</f>
        <v>44688</v>
      </c>
      <c r="G390" s="40" t="str">
        <f>IFERROR(VLOOKUP(3196,Depositos[],7,FALSE),"BORRADO")</f>
        <v>MACRO 73745873</v>
      </c>
      <c r="H390" s="40">
        <f>IFERROR(VLOOKUP(3196,Depositos[],8,FALSE),"BORRADO")</f>
        <v>0</v>
      </c>
      <c r="I390" s="40">
        <f>IFERROR(VLOOKUP(3196,Depositos[],9,FALSE),"BORRADO")</f>
        <v>0</v>
      </c>
    </row>
    <row r="391" spans="1:9">
      <c r="A391" s="38" t="s">
        <v>355</v>
      </c>
      <c r="B391" s="39" t="str">
        <f>IFERROR(VLOOKUP(9665,Gastos[],2,FALSE),"BORRADO")</f>
        <v>BORRADO</v>
      </c>
      <c r="C391" s="40" t="str">
        <f>IFERROR(VLOOKUP(9665,Gastos[],3,FALSE),"BORRADO")</f>
        <v>BORRADO</v>
      </c>
      <c r="D391" s="41" t="str">
        <f>IFERROR(VLOOKUP(9665,Gastos[],4,FALSE),"BORRADO")</f>
        <v>BORRADO</v>
      </c>
      <c r="E391" s="42" t="str">
        <f>IFERROR(VLOOKUP(9665,Gastos[],5,FALSE),"BORRADO")</f>
        <v>BORRADO</v>
      </c>
      <c r="F391" s="41" t="str">
        <f>IFERROR(VLOOKUP(9665,Gastos[],6,FALSE),"BORRADO")</f>
        <v>BORRADO</v>
      </c>
      <c r="G391" s="40" t="str">
        <f>IFERROR(VLOOKUP(9665,Gastos[],7,FALSE),"BORRADO")</f>
        <v>BORRADO</v>
      </c>
      <c r="H391" s="40" t="str">
        <f>IFERROR(VLOOKUP(9665,Gastos[],8,FALSE),"BORRADO")</f>
        <v>BORRADO</v>
      </c>
      <c r="I391" s="40" t="str">
        <f>IFERROR(VLOOKUP(9665,Gastos[],9,FALSE),"BORRADO")</f>
        <v>BORRADO</v>
      </c>
    </row>
    <row r="392" spans="1:9">
      <c r="A392" s="38" t="s">
        <v>355</v>
      </c>
      <c r="B392" s="39" t="str">
        <f>IFERROR(VLOOKUP(9666,Gastos[],2,FALSE),"BORRADO")</f>
        <v>BORRADO</v>
      </c>
      <c r="C392" s="40" t="str">
        <f>IFERROR(VLOOKUP(9666,Gastos[],3,FALSE),"BORRADO")</f>
        <v>BORRADO</v>
      </c>
      <c r="D392" s="41" t="str">
        <f>IFERROR(VLOOKUP(9666,Gastos[],4,FALSE),"BORRADO")</f>
        <v>BORRADO</v>
      </c>
      <c r="E392" s="42" t="str">
        <f>IFERROR(VLOOKUP(9666,Gastos[],5,FALSE),"BORRADO")</f>
        <v>BORRADO</v>
      </c>
      <c r="F392" s="41" t="str">
        <f>IFERROR(VLOOKUP(9666,Gastos[],6,FALSE),"BORRADO")</f>
        <v>BORRADO</v>
      </c>
      <c r="G392" s="40" t="str">
        <f>IFERROR(VLOOKUP(9666,Gastos[],7,FALSE),"BORRADO")</f>
        <v>BORRADO</v>
      </c>
      <c r="H392" s="40" t="str">
        <f>IFERROR(VLOOKUP(9666,Gastos[],8,FALSE),"BORRADO")</f>
        <v>BORRADO</v>
      </c>
      <c r="I392" s="40" t="str">
        <f>IFERROR(VLOOKUP(9666,Gastos[],9,FALSE),"BORRADO")</f>
        <v>BORRADO</v>
      </c>
    </row>
    <row r="393" spans="1:9">
      <c r="A393" s="38" t="s">
        <v>354</v>
      </c>
      <c r="B393" s="39">
        <f>IFERROR(VLOOKUP(3197,Depositos[],2,FALSE),"BORRADO")</f>
        <v>43005</v>
      </c>
      <c r="C393" s="40" t="str">
        <f>IFERROR(VLOOKUP(3197,Depositos[],3,FALSE),"BORRADO")</f>
        <v>RR CHEQUE</v>
      </c>
      <c r="D393" s="41">
        <f>IFERROR(VLOOKUP(3197,Depositos[],4,FALSE),"BORRADO")</f>
        <v>26620</v>
      </c>
      <c r="E393" s="42">
        <f>IFERROR(VLOOKUP(3197,Depositos[],5,FALSE),"BORRADO")</f>
        <v>43006</v>
      </c>
      <c r="F393" s="41">
        <f ca="1">IFERROR(VLOOKUP(3197,Depositos[],6,FALSE),"BORRADO")</f>
        <v>10967</v>
      </c>
      <c r="G393" s="40" t="str">
        <f>IFERROR(VLOOKUP(3197,Depositos[],7,FALSE),"BORRADO")</f>
        <v>MACRO 71274516</v>
      </c>
      <c r="H393" s="40">
        <f>IFERROR(VLOOKUP(3197,Depositos[],8,FALSE),"BORRADO")</f>
        <v>0</v>
      </c>
      <c r="I393" s="40">
        <f>IFERROR(VLOOKUP(3197,Depositos[],9,FALSE),"BORRADO")</f>
        <v>0</v>
      </c>
    </row>
    <row r="394" spans="1:9">
      <c r="A394" s="38" t="s">
        <v>354</v>
      </c>
      <c r="B394" s="39">
        <f>IFERROR(VLOOKUP(3198,Depositos[],2,FALSE),"BORRADO")</f>
        <v>43005</v>
      </c>
      <c r="C394" s="40" t="str">
        <f>IFERROR(VLOOKUP(3198,Depositos[],3,FALSE),"BORRADO")</f>
        <v>RR CHEQUE</v>
      </c>
      <c r="D394" s="41">
        <f>IFERROR(VLOOKUP(3198,Depositos[],4,FALSE),"BORRADO")</f>
        <v>50000</v>
      </c>
      <c r="E394" s="42">
        <f>IFERROR(VLOOKUP(3198,Depositos[],5,FALSE),"BORRADO")</f>
        <v>43006</v>
      </c>
      <c r="F394" s="41">
        <f ca="1">IFERROR(VLOOKUP(3198,Depositos[],6,FALSE),"BORRADO")</f>
        <v>43003</v>
      </c>
      <c r="G394" s="40" t="str">
        <f>IFERROR(VLOOKUP(3198,Depositos[],7,FALSE),"BORRADO")</f>
        <v>MACRO 73745872</v>
      </c>
      <c r="H394" s="40">
        <f>IFERROR(VLOOKUP(3198,Depositos[],8,FALSE),"BORRADO")</f>
        <v>0</v>
      </c>
      <c r="I394" s="40">
        <f>IFERROR(VLOOKUP(3198,Depositos[],9,FALSE),"BORRADO")</f>
        <v>0</v>
      </c>
    </row>
    <row r="395" spans="1:9">
      <c r="A395" s="38" t="s">
        <v>355</v>
      </c>
      <c r="B395" s="39" t="str">
        <f>IFERROR(VLOOKUP(9667,Gastos[],2,FALSE),"BORRADO")</f>
        <v>BORRADO</v>
      </c>
      <c r="C395" s="40" t="str">
        <f>IFERROR(VLOOKUP(9667,Gastos[],3,FALSE),"BORRADO")</f>
        <v>BORRADO</v>
      </c>
      <c r="D395" s="41" t="str">
        <f>IFERROR(VLOOKUP(9667,Gastos[],4,FALSE),"BORRADO")</f>
        <v>BORRADO</v>
      </c>
      <c r="E395" s="42" t="str">
        <f>IFERROR(VLOOKUP(9667,Gastos[],5,FALSE),"BORRADO")</f>
        <v>BORRADO</v>
      </c>
      <c r="F395" s="41" t="str">
        <f>IFERROR(VLOOKUP(9667,Gastos[],6,FALSE),"BORRADO")</f>
        <v>BORRADO</v>
      </c>
      <c r="G395" s="40" t="str">
        <f>IFERROR(VLOOKUP(9667,Gastos[],7,FALSE),"BORRADO")</f>
        <v>BORRADO</v>
      </c>
      <c r="H395" s="40" t="str">
        <f>IFERROR(VLOOKUP(9667,Gastos[],8,FALSE),"BORRADO")</f>
        <v>BORRADO</v>
      </c>
      <c r="I395" s="40" t="str">
        <f>IFERROR(VLOOKUP(9667,Gastos[],9,FALSE),"BORRADO")</f>
        <v>BORRADO</v>
      </c>
    </row>
    <row r="396" spans="1:9">
      <c r="A396" s="38" t="s">
        <v>355</v>
      </c>
      <c r="B396" s="39" t="str">
        <f>IFERROR(VLOOKUP(9668,Gastos[],2,FALSE),"BORRADO")</f>
        <v>BORRADO</v>
      </c>
      <c r="C396" s="40" t="str">
        <f>IFERROR(VLOOKUP(9668,Gastos[],3,FALSE),"BORRADO")</f>
        <v>BORRADO</v>
      </c>
      <c r="D396" s="41" t="str">
        <f>IFERROR(VLOOKUP(9668,Gastos[],4,FALSE),"BORRADO")</f>
        <v>BORRADO</v>
      </c>
      <c r="E396" s="42" t="str">
        <f>IFERROR(VLOOKUP(9668,Gastos[],5,FALSE),"BORRADO")</f>
        <v>BORRADO</v>
      </c>
      <c r="F396" s="41" t="str">
        <f>IFERROR(VLOOKUP(9668,Gastos[],6,FALSE),"BORRADO")</f>
        <v>BORRADO</v>
      </c>
      <c r="G396" s="40" t="str">
        <f>IFERROR(VLOOKUP(9668,Gastos[],7,FALSE),"BORRADO")</f>
        <v>BORRADO</v>
      </c>
      <c r="H396" s="40" t="str">
        <f>IFERROR(VLOOKUP(9668,Gastos[],8,FALSE),"BORRADO")</f>
        <v>BORRADO</v>
      </c>
      <c r="I396" s="40" t="str">
        <f>IFERROR(VLOOKUP(9668,Gastos[],9,FALSE),"BORRADO")</f>
        <v>BORRADO</v>
      </c>
    </row>
    <row r="397" spans="1:9">
      <c r="A397" s="38" t="s">
        <v>355</v>
      </c>
      <c r="B397" s="39" t="str">
        <f>IFERROR(VLOOKUP(9669,Gastos[],2,FALSE),"BORRADO")</f>
        <v>BORRADO</v>
      </c>
      <c r="C397" s="40" t="str">
        <f>IFERROR(VLOOKUP(9669,Gastos[],3,FALSE),"BORRADO")</f>
        <v>BORRADO</v>
      </c>
      <c r="D397" s="41" t="str">
        <f>IFERROR(VLOOKUP(9669,Gastos[],4,FALSE),"BORRADO")</f>
        <v>BORRADO</v>
      </c>
      <c r="E397" s="42" t="str">
        <f>IFERROR(VLOOKUP(9669,Gastos[],5,FALSE),"BORRADO")</f>
        <v>BORRADO</v>
      </c>
      <c r="F397" s="41" t="str">
        <f>IFERROR(VLOOKUP(9669,Gastos[],6,FALSE),"BORRADO")</f>
        <v>BORRADO</v>
      </c>
      <c r="G397" s="40" t="str">
        <f>IFERROR(VLOOKUP(9669,Gastos[],7,FALSE),"BORRADO")</f>
        <v>BORRADO</v>
      </c>
      <c r="H397" s="40" t="str">
        <f>IFERROR(VLOOKUP(9669,Gastos[],8,FALSE),"BORRADO")</f>
        <v>BORRADO</v>
      </c>
      <c r="I397" s="40" t="str">
        <f>IFERROR(VLOOKUP(9669,Gastos[],9,FALSE),"BORRADO")</f>
        <v>BORRADO</v>
      </c>
    </row>
    <row r="398" spans="1:9">
      <c r="A398" s="38" t="s">
        <v>355</v>
      </c>
      <c r="B398" s="39" t="str">
        <f>IFERROR(VLOOKUP(9670,Gastos[],2,FALSE),"BORRADO")</f>
        <v>BORRADO</v>
      </c>
      <c r="C398" s="40" t="str">
        <f>IFERROR(VLOOKUP(9670,Gastos[],3,FALSE),"BORRADO")</f>
        <v>BORRADO</v>
      </c>
      <c r="D398" s="41" t="str">
        <f>IFERROR(VLOOKUP(9670,Gastos[],4,FALSE),"BORRADO")</f>
        <v>BORRADO</v>
      </c>
      <c r="E398" s="42" t="str">
        <f>IFERROR(VLOOKUP(9670,Gastos[],5,FALSE),"BORRADO")</f>
        <v>BORRADO</v>
      </c>
      <c r="F398" s="41" t="str">
        <f>IFERROR(VLOOKUP(9670,Gastos[],6,FALSE),"BORRADO")</f>
        <v>BORRADO</v>
      </c>
      <c r="G398" s="40" t="str">
        <f>IFERROR(VLOOKUP(9670,Gastos[],7,FALSE),"BORRADO")</f>
        <v>BORRADO</v>
      </c>
      <c r="H398" s="40" t="str">
        <f>IFERROR(VLOOKUP(9670,Gastos[],8,FALSE),"BORRADO")</f>
        <v>BORRADO</v>
      </c>
      <c r="I398" s="40" t="str">
        <f>IFERROR(VLOOKUP(9670,Gastos[],9,FALSE),"BORRADO")</f>
        <v>BORRADO</v>
      </c>
    </row>
    <row r="399" spans="1:9">
      <c r="A399" s="38" t="s">
        <v>355</v>
      </c>
      <c r="B399" s="39" t="str">
        <f>IFERROR(VLOOKUP(9671,Gastos[],2,FALSE),"BORRADO")</f>
        <v>BORRADO</v>
      </c>
      <c r="C399" s="40" t="str">
        <f>IFERROR(VLOOKUP(9671,Gastos[],3,FALSE),"BORRADO")</f>
        <v>BORRADO</v>
      </c>
      <c r="D399" s="41" t="str">
        <f>IFERROR(VLOOKUP(9671,Gastos[],4,FALSE),"BORRADO")</f>
        <v>BORRADO</v>
      </c>
      <c r="E399" s="42" t="str">
        <f>IFERROR(VLOOKUP(9671,Gastos[],5,FALSE),"BORRADO")</f>
        <v>BORRADO</v>
      </c>
      <c r="F399" s="41" t="str">
        <f>IFERROR(VLOOKUP(9671,Gastos[],6,FALSE),"BORRADO")</f>
        <v>BORRADO</v>
      </c>
      <c r="G399" s="40" t="str">
        <f>IFERROR(VLOOKUP(9671,Gastos[],7,FALSE),"BORRADO")</f>
        <v>BORRADO</v>
      </c>
      <c r="H399" s="40" t="str">
        <f>IFERROR(VLOOKUP(9671,Gastos[],8,FALSE),"BORRADO")</f>
        <v>BORRADO</v>
      </c>
      <c r="I399" s="40" t="str">
        <f>IFERROR(VLOOKUP(9671,Gastos[],9,FALSE),"BORRADO")</f>
        <v>BORRADO</v>
      </c>
    </row>
    <row r="400" spans="1:9">
      <c r="A400" s="38" t="s">
        <v>355</v>
      </c>
      <c r="B400" s="39" t="str">
        <f>IFERROR(VLOOKUP(9672,Gastos[],2,FALSE),"BORRADO")</f>
        <v>BORRADO</v>
      </c>
      <c r="C400" s="40" t="str">
        <f>IFERROR(VLOOKUP(9672,Gastos[],3,FALSE),"BORRADO")</f>
        <v>BORRADO</v>
      </c>
      <c r="D400" s="41" t="str">
        <f>IFERROR(VLOOKUP(9672,Gastos[],4,FALSE),"BORRADO")</f>
        <v>BORRADO</v>
      </c>
      <c r="E400" s="42" t="str">
        <f>IFERROR(VLOOKUP(9672,Gastos[],5,FALSE),"BORRADO")</f>
        <v>BORRADO</v>
      </c>
      <c r="F400" s="41" t="str">
        <f>IFERROR(VLOOKUP(9672,Gastos[],6,FALSE),"BORRADO")</f>
        <v>BORRADO</v>
      </c>
      <c r="G400" s="40" t="str">
        <f>IFERROR(VLOOKUP(9672,Gastos[],7,FALSE),"BORRADO")</f>
        <v>BORRADO</v>
      </c>
      <c r="H400" s="40" t="str">
        <f>IFERROR(VLOOKUP(9672,Gastos[],8,FALSE),"BORRADO")</f>
        <v>BORRADO</v>
      </c>
      <c r="I400" s="40" t="str">
        <f>IFERROR(VLOOKUP(9672,Gastos[],9,FALSE),"BORRADO")</f>
        <v>BORRADO</v>
      </c>
    </row>
    <row r="401" spans="1:9">
      <c r="A401" s="38" t="s">
        <v>355</v>
      </c>
      <c r="B401" s="39" t="str">
        <f>IFERROR(VLOOKUP(9673,Gastos[],2,FALSE),"BORRADO")</f>
        <v>BORRADO</v>
      </c>
      <c r="C401" s="40" t="str">
        <f>IFERROR(VLOOKUP(9673,Gastos[],3,FALSE),"BORRADO")</f>
        <v>BORRADO</v>
      </c>
      <c r="D401" s="41" t="str">
        <f>IFERROR(VLOOKUP(9673,Gastos[],4,FALSE),"BORRADO")</f>
        <v>BORRADO</v>
      </c>
      <c r="E401" s="42" t="str">
        <f>IFERROR(VLOOKUP(9673,Gastos[],5,FALSE),"BORRADO")</f>
        <v>BORRADO</v>
      </c>
      <c r="F401" s="41" t="str">
        <f>IFERROR(VLOOKUP(9673,Gastos[],6,FALSE),"BORRADO")</f>
        <v>BORRADO</v>
      </c>
      <c r="G401" s="40" t="str">
        <f>IFERROR(VLOOKUP(9673,Gastos[],7,FALSE),"BORRADO")</f>
        <v>BORRADO</v>
      </c>
      <c r="H401" s="40" t="str">
        <f>IFERROR(VLOOKUP(9673,Gastos[],8,FALSE),"BORRADO")</f>
        <v>BORRADO</v>
      </c>
      <c r="I401" s="40" t="str">
        <f>IFERROR(VLOOKUP(9673,Gastos[],9,FALSE),"BORRADO")</f>
        <v>BORRADO</v>
      </c>
    </row>
    <row r="402" spans="1:9">
      <c r="A402" s="38" t="s">
        <v>355</v>
      </c>
      <c r="B402" s="39" t="str">
        <f>IFERROR(VLOOKUP(9674,Gastos[],2,FALSE),"BORRADO")</f>
        <v>BORRADO</v>
      </c>
      <c r="C402" s="40" t="str">
        <f>IFERROR(VLOOKUP(9674,Gastos[],3,FALSE),"BORRADO")</f>
        <v>BORRADO</v>
      </c>
      <c r="D402" s="41" t="str">
        <f>IFERROR(VLOOKUP(9674,Gastos[],4,FALSE),"BORRADO")</f>
        <v>BORRADO</v>
      </c>
      <c r="E402" s="42" t="str">
        <f>IFERROR(VLOOKUP(9674,Gastos[],5,FALSE),"BORRADO")</f>
        <v>BORRADO</v>
      </c>
      <c r="F402" s="41" t="str">
        <f>IFERROR(VLOOKUP(9674,Gastos[],6,FALSE),"BORRADO")</f>
        <v>BORRADO</v>
      </c>
      <c r="G402" s="40" t="str">
        <f>IFERROR(VLOOKUP(9674,Gastos[],7,FALSE),"BORRADO")</f>
        <v>BORRADO</v>
      </c>
      <c r="H402" s="40" t="str">
        <f>IFERROR(VLOOKUP(9674,Gastos[],8,FALSE),"BORRADO")</f>
        <v>BORRADO</v>
      </c>
      <c r="I402" s="40" t="str">
        <f>IFERROR(VLOOKUP(9674,Gastos[],9,FALSE),"BORRADO")</f>
        <v>BORRADO</v>
      </c>
    </row>
    <row r="403" spans="1:9">
      <c r="A403" s="38" t="s">
        <v>355</v>
      </c>
      <c r="B403" s="39" t="str">
        <f>IFERROR(VLOOKUP(9675,Gastos[],2,FALSE),"BORRADO")</f>
        <v>BORRADO</v>
      </c>
      <c r="C403" s="40" t="str">
        <f>IFERROR(VLOOKUP(9675,Gastos[],3,FALSE),"BORRADO")</f>
        <v>BORRADO</v>
      </c>
      <c r="D403" s="41" t="str">
        <f>IFERROR(VLOOKUP(9675,Gastos[],4,FALSE),"BORRADO")</f>
        <v>BORRADO</v>
      </c>
      <c r="E403" s="42" t="str">
        <f>IFERROR(VLOOKUP(9675,Gastos[],5,FALSE),"BORRADO")</f>
        <v>BORRADO</v>
      </c>
      <c r="F403" s="41" t="str">
        <f>IFERROR(VLOOKUP(9675,Gastos[],6,FALSE),"BORRADO")</f>
        <v>BORRADO</v>
      </c>
      <c r="G403" s="40" t="str">
        <f>IFERROR(VLOOKUP(9675,Gastos[],7,FALSE),"BORRADO")</f>
        <v>BORRADO</v>
      </c>
      <c r="H403" s="40" t="str">
        <f>IFERROR(VLOOKUP(9675,Gastos[],8,FALSE),"BORRADO")</f>
        <v>BORRADO</v>
      </c>
      <c r="I403" s="40" t="str">
        <f>IFERROR(VLOOKUP(9675,Gastos[],9,FALSE),"BORRADO")</f>
        <v>BORRADO</v>
      </c>
    </row>
    <row r="404" spans="1:9">
      <c r="A404" s="38" t="s">
        <v>355</v>
      </c>
      <c r="B404" s="39" t="str">
        <f>IFERROR(VLOOKUP(9676,Gastos[],2,FALSE),"BORRADO")</f>
        <v>BORRADO</v>
      </c>
      <c r="C404" s="40" t="str">
        <f>IFERROR(VLOOKUP(9676,Gastos[],3,FALSE),"BORRADO")</f>
        <v>BORRADO</v>
      </c>
      <c r="D404" s="41" t="str">
        <f>IFERROR(VLOOKUP(9676,Gastos[],4,FALSE),"BORRADO")</f>
        <v>BORRADO</v>
      </c>
      <c r="E404" s="42" t="str">
        <f>IFERROR(VLOOKUP(9676,Gastos[],5,FALSE),"BORRADO")</f>
        <v>BORRADO</v>
      </c>
      <c r="F404" s="41" t="str">
        <f>IFERROR(VLOOKUP(9676,Gastos[],6,FALSE),"BORRADO")</f>
        <v>BORRADO</v>
      </c>
      <c r="G404" s="40" t="str">
        <f>IFERROR(VLOOKUP(9676,Gastos[],7,FALSE),"BORRADO")</f>
        <v>BORRADO</v>
      </c>
      <c r="H404" s="40" t="str">
        <f>IFERROR(VLOOKUP(9676,Gastos[],8,FALSE),"BORRADO")</f>
        <v>BORRADO</v>
      </c>
      <c r="I404" s="40" t="str">
        <f>IFERROR(VLOOKUP(9676,Gastos[],9,FALSE),"BORRADO")</f>
        <v>BORRADO</v>
      </c>
    </row>
    <row r="405" spans="1:9">
      <c r="A405" s="38" t="s">
        <v>355</v>
      </c>
      <c r="B405" s="39" t="str">
        <f>IFERROR(VLOOKUP(9677,Gastos[],2,FALSE),"BORRADO")</f>
        <v>BORRADO</v>
      </c>
      <c r="C405" s="40" t="str">
        <f>IFERROR(VLOOKUP(9677,Gastos[],3,FALSE),"BORRADO")</f>
        <v>BORRADO</v>
      </c>
      <c r="D405" s="41" t="str">
        <f>IFERROR(VLOOKUP(9677,Gastos[],4,FALSE),"BORRADO")</f>
        <v>BORRADO</v>
      </c>
      <c r="E405" s="42" t="str">
        <f>IFERROR(VLOOKUP(9677,Gastos[],5,FALSE),"BORRADO")</f>
        <v>BORRADO</v>
      </c>
      <c r="F405" s="41" t="str">
        <f>IFERROR(VLOOKUP(9677,Gastos[],6,FALSE),"BORRADO")</f>
        <v>BORRADO</v>
      </c>
      <c r="G405" s="40" t="str">
        <f>IFERROR(VLOOKUP(9677,Gastos[],7,FALSE),"BORRADO")</f>
        <v>BORRADO</v>
      </c>
      <c r="H405" s="40" t="str">
        <f>IFERROR(VLOOKUP(9677,Gastos[],8,FALSE),"BORRADO")</f>
        <v>BORRADO</v>
      </c>
      <c r="I405" s="40" t="str">
        <f>IFERROR(VLOOKUP(9677,Gastos[],9,FALSE),"BORRADO")</f>
        <v>BORRADO</v>
      </c>
    </row>
    <row r="406" spans="1:9">
      <c r="A406" s="38" t="s">
        <v>355</v>
      </c>
      <c r="B406" s="39" t="str">
        <f>IFERROR(VLOOKUP(9678,Gastos[],2,FALSE),"BORRADO")</f>
        <v>BORRADO</v>
      </c>
      <c r="C406" s="40" t="str">
        <f>IFERROR(VLOOKUP(9678,Gastos[],3,FALSE),"BORRADO")</f>
        <v>BORRADO</v>
      </c>
      <c r="D406" s="41" t="str">
        <f>IFERROR(VLOOKUP(9678,Gastos[],4,FALSE),"BORRADO")</f>
        <v>BORRADO</v>
      </c>
      <c r="E406" s="42" t="str">
        <f>IFERROR(VLOOKUP(9678,Gastos[],5,FALSE),"BORRADO")</f>
        <v>BORRADO</v>
      </c>
      <c r="F406" s="41" t="str">
        <f>IFERROR(VLOOKUP(9678,Gastos[],6,FALSE),"BORRADO")</f>
        <v>BORRADO</v>
      </c>
      <c r="G406" s="40" t="str">
        <f>IFERROR(VLOOKUP(9678,Gastos[],7,FALSE),"BORRADO")</f>
        <v>BORRADO</v>
      </c>
      <c r="H406" s="40" t="str">
        <f>IFERROR(VLOOKUP(9678,Gastos[],8,FALSE),"BORRADO")</f>
        <v>BORRADO</v>
      </c>
      <c r="I406" s="40" t="str">
        <f>IFERROR(VLOOKUP(9678,Gastos[],9,FALSE),"BORRADO")</f>
        <v>BORRADO</v>
      </c>
    </row>
    <row r="407" spans="1:9">
      <c r="A407" s="38" t="s">
        <v>355</v>
      </c>
      <c r="B407" s="39" t="str">
        <f>IFERROR(VLOOKUP(9679,Gastos[],2,FALSE),"BORRADO")</f>
        <v>BORRADO</v>
      </c>
      <c r="C407" s="40" t="str">
        <f>IFERROR(VLOOKUP(9679,Gastos[],3,FALSE),"BORRADO")</f>
        <v>BORRADO</v>
      </c>
      <c r="D407" s="41" t="str">
        <f>IFERROR(VLOOKUP(9679,Gastos[],4,FALSE),"BORRADO")</f>
        <v>BORRADO</v>
      </c>
      <c r="E407" s="42" t="str">
        <f>IFERROR(VLOOKUP(9679,Gastos[],5,FALSE),"BORRADO")</f>
        <v>BORRADO</v>
      </c>
      <c r="F407" s="41" t="str">
        <f>IFERROR(VLOOKUP(9679,Gastos[],6,FALSE),"BORRADO")</f>
        <v>BORRADO</v>
      </c>
      <c r="G407" s="40" t="str">
        <f>IFERROR(VLOOKUP(9679,Gastos[],7,FALSE),"BORRADO")</f>
        <v>BORRADO</v>
      </c>
      <c r="H407" s="40" t="str">
        <f>IFERROR(VLOOKUP(9679,Gastos[],8,FALSE),"BORRADO")</f>
        <v>BORRADO</v>
      </c>
      <c r="I407" s="40" t="str">
        <f>IFERROR(VLOOKUP(9679,Gastos[],9,FALSE),"BORRADO")</f>
        <v>BORRADO</v>
      </c>
    </row>
    <row r="408" spans="1:9">
      <c r="A408" s="38" t="s">
        <v>355</v>
      </c>
      <c r="B408" s="39" t="str">
        <f>IFERROR(VLOOKUP(9680,Gastos[],2,FALSE),"BORRADO")</f>
        <v>BORRADO</v>
      </c>
      <c r="C408" s="40" t="str">
        <f>IFERROR(VLOOKUP(9680,Gastos[],3,FALSE),"BORRADO")</f>
        <v>BORRADO</v>
      </c>
      <c r="D408" s="41" t="str">
        <f>IFERROR(VLOOKUP(9680,Gastos[],4,FALSE),"BORRADO")</f>
        <v>BORRADO</v>
      </c>
      <c r="E408" s="42" t="str">
        <f>IFERROR(VLOOKUP(9680,Gastos[],5,FALSE),"BORRADO")</f>
        <v>BORRADO</v>
      </c>
      <c r="F408" s="41" t="str">
        <f>IFERROR(VLOOKUP(9680,Gastos[],6,FALSE),"BORRADO")</f>
        <v>BORRADO</v>
      </c>
      <c r="G408" s="40" t="str">
        <f>IFERROR(VLOOKUP(9680,Gastos[],7,FALSE),"BORRADO")</f>
        <v>BORRADO</v>
      </c>
      <c r="H408" s="40" t="str">
        <f>IFERROR(VLOOKUP(9680,Gastos[],8,FALSE),"BORRADO")</f>
        <v>BORRADO</v>
      </c>
      <c r="I408" s="40" t="str">
        <f>IFERROR(VLOOKUP(9680,Gastos[],9,FALSE),"BORRADO")</f>
        <v>BORRADO</v>
      </c>
    </row>
    <row r="409" spans="1:9">
      <c r="A409" s="38" t="s">
        <v>355</v>
      </c>
      <c r="B409" s="39" t="str">
        <f>IFERROR(VLOOKUP(9681,Gastos[],2,FALSE),"BORRADO")</f>
        <v>BORRADO</v>
      </c>
      <c r="C409" s="40" t="str">
        <f>IFERROR(VLOOKUP(9681,Gastos[],3,FALSE),"BORRADO")</f>
        <v>BORRADO</v>
      </c>
      <c r="D409" s="41" t="str">
        <f>IFERROR(VLOOKUP(9681,Gastos[],4,FALSE),"BORRADO")</f>
        <v>BORRADO</v>
      </c>
      <c r="E409" s="42" t="str">
        <f>IFERROR(VLOOKUP(9681,Gastos[],5,FALSE),"BORRADO")</f>
        <v>BORRADO</v>
      </c>
      <c r="F409" s="41" t="str">
        <f>IFERROR(VLOOKUP(9681,Gastos[],6,FALSE),"BORRADO")</f>
        <v>BORRADO</v>
      </c>
      <c r="G409" s="40" t="str">
        <f>IFERROR(VLOOKUP(9681,Gastos[],7,FALSE),"BORRADO")</f>
        <v>BORRADO</v>
      </c>
      <c r="H409" s="40" t="str">
        <f>IFERROR(VLOOKUP(9681,Gastos[],8,FALSE),"BORRADO")</f>
        <v>BORRADO</v>
      </c>
      <c r="I409" s="40" t="str">
        <f>IFERROR(VLOOKUP(9681,Gastos[],9,FALSE),"BORRADO")</f>
        <v>BORRADO</v>
      </c>
    </row>
    <row r="410" spans="1:9">
      <c r="A410" s="38" t="s">
        <v>355</v>
      </c>
      <c r="B410" s="39" t="str">
        <f>IFERROR(VLOOKUP(9682,Gastos[],2,FALSE),"BORRADO")</f>
        <v>BORRADO</v>
      </c>
      <c r="C410" s="40" t="str">
        <f>IFERROR(VLOOKUP(9682,Gastos[],3,FALSE),"BORRADO")</f>
        <v>BORRADO</v>
      </c>
      <c r="D410" s="41" t="str">
        <f>IFERROR(VLOOKUP(9682,Gastos[],4,FALSE),"BORRADO")</f>
        <v>BORRADO</v>
      </c>
      <c r="E410" s="42" t="str">
        <f>IFERROR(VLOOKUP(9682,Gastos[],5,FALSE),"BORRADO")</f>
        <v>BORRADO</v>
      </c>
      <c r="F410" s="41" t="str">
        <f>IFERROR(VLOOKUP(9682,Gastos[],6,FALSE),"BORRADO")</f>
        <v>BORRADO</v>
      </c>
      <c r="G410" s="40" t="str">
        <f>IFERROR(VLOOKUP(9682,Gastos[],7,FALSE),"BORRADO")</f>
        <v>BORRADO</v>
      </c>
      <c r="H410" s="40" t="str">
        <f>IFERROR(VLOOKUP(9682,Gastos[],8,FALSE),"BORRADO")</f>
        <v>BORRADO</v>
      </c>
      <c r="I410" s="40" t="str">
        <f>IFERROR(VLOOKUP(9682,Gastos[],9,FALSE),"BORRADO")</f>
        <v>BORRADO</v>
      </c>
    </row>
    <row r="411" spans="1:9">
      <c r="A411" s="38" t="s">
        <v>355</v>
      </c>
      <c r="B411" s="39" t="str">
        <f>IFERROR(VLOOKUP(9683,Gastos[],2,FALSE),"BORRADO")</f>
        <v>BORRADO</v>
      </c>
      <c r="C411" s="40" t="str">
        <f>IFERROR(VLOOKUP(9683,Gastos[],3,FALSE),"BORRADO")</f>
        <v>BORRADO</v>
      </c>
      <c r="D411" s="41" t="str">
        <f>IFERROR(VLOOKUP(9683,Gastos[],4,FALSE),"BORRADO")</f>
        <v>BORRADO</v>
      </c>
      <c r="E411" s="42" t="str">
        <f>IFERROR(VLOOKUP(9683,Gastos[],5,FALSE),"BORRADO")</f>
        <v>BORRADO</v>
      </c>
      <c r="F411" s="41" t="str">
        <f>IFERROR(VLOOKUP(9683,Gastos[],6,FALSE),"BORRADO")</f>
        <v>BORRADO</v>
      </c>
      <c r="G411" s="40" t="str">
        <f>IFERROR(VLOOKUP(9683,Gastos[],7,FALSE),"BORRADO")</f>
        <v>BORRADO</v>
      </c>
      <c r="H411" s="40" t="str">
        <f>IFERROR(VLOOKUP(9683,Gastos[],8,FALSE),"BORRADO")</f>
        <v>BORRADO</v>
      </c>
      <c r="I411" s="40" t="str">
        <f>IFERROR(VLOOKUP(9683,Gastos[],9,FALSE),"BORRADO")</f>
        <v>BORRADO</v>
      </c>
    </row>
    <row r="412" spans="1:9">
      <c r="A412" s="38" t="s">
        <v>355</v>
      </c>
      <c r="B412" s="39" t="str">
        <f>IFERROR(VLOOKUP(9684,Gastos[],2,FALSE),"BORRADO")</f>
        <v>BORRADO</v>
      </c>
      <c r="C412" s="40" t="str">
        <f>IFERROR(VLOOKUP(9684,Gastos[],3,FALSE),"BORRADO")</f>
        <v>BORRADO</v>
      </c>
      <c r="D412" s="41" t="str">
        <f>IFERROR(VLOOKUP(9684,Gastos[],4,FALSE),"BORRADO")</f>
        <v>BORRADO</v>
      </c>
      <c r="E412" s="42" t="str">
        <f>IFERROR(VLOOKUP(9684,Gastos[],5,FALSE),"BORRADO")</f>
        <v>BORRADO</v>
      </c>
      <c r="F412" s="41" t="str">
        <f>IFERROR(VLOOKUP(9684,Gastos[],6,FALSE),"BORRADO")</f>
        <v>BORRADO</v>
      </c>
      <c r="G412" s="40" t="str">
        <f>IFERROR(VLOOKUP(9684,Gastos[],7,FALSE),"BORRADO")</f>
        <v>BORRADO</v>
      </c>
      <c r="H412" s="40" t="str">
        <f>IFERROR(VLOOKUP(9684,Gastos[],8,FALSE),"BORRADO")</f>
        <v>BORRADO</v>
      </c>
      <c r="I412" s="40" t="str">
        <f>IFERROR(VLOOKUP(9684,Gastos[],9,FALSE),"BORRADO")</f>
        <v>BORRADO</v>
      </c>
    </row>
    <row r="413" spans="1:9">
      <c r="A413" s="38" t="s">
        <v>355</v>
      </c>
      <c r="B413" s="39" t="str">
        <f>IFERROR(VLOOKUP(9685,Gastos[],2,FALSE),"BORRADO")</f>
        <v>BORRADO</v>
      </c>
      <c r="C413" s="40" t="str">
        <f>IFERROR(VLOOKUP(9685,Gastos[],3,FALSE),"BORRADO")</f>
        <v>BORRADO</v>
      </c>
      <c r="D413" s="41" t="str">
        <f>IFERROR(VLOOKUP(9685,Gastos[],4,FALSE),"BORRADO")</f>
        <v>BORRADO</v>
      </c>
      <c r="E413" s="42" t="str">
        <f>IFERROR(VLOOKUP(9685,Gastos[],5,FALSE),"BORRADO")</f>
        <v>BORRADO</v>
      </c>
      <c r="F413" s="41" t="str">
        <f>IFERROR(VLOOKUP(9685,Gastos[],6,FALSE),"BORRADO")</f>
        <v>BORRADO</v>
      </c>
      <c r="G413" s="40" t="str">
        <f>IFERROR(VLOOKUP(9685,Gastos[],7,FALSE),"BORRADO")</f>
        <v>BORRADO</v>
      </c>
      <c r="H413" s="40" t="str">
        <f>IFERROR(VLOOKUP(9685,Gastos[],8,FALSE),"BORRADO")</f>
        <v>BORRADO</v>
      </c>
      <c r="I413" s="40" t="str">
        <f>IFERROR(VLOOKUP(9685,Gastos[],9,FALSE),"BORRADO")</f>
        <v>BORRADO</v>
      </c>
    </row>
    <row r="414" spans="1:9">
      <c r="A414" s="38" t="s">
        <v>355</v>
      </c>
      <c r="B414" s="39" t="str">
        <f>IFERROR(VLOOKUP(9686,Gastos[],2,FALSE),"BORRADO")</f>
        <v>BORRADO</v>
      </c>
      <c r="C414" s="40" t="str">
        <f>IFERROR(VLOOKUP(9686,Gastos[],3,FALSE),"BORRADO")</f>
        <v>BORRADO</v>
      </c>
      <c r="D414" s="41" t="str">
        <f>IFERROR(VLOOKUP(9686,Gastos[],4,FALSE),"BORRADO")</f>
        <v>BORRADO</v>
      </c>
      <c r="E414" s="42" t="str">
        <f>IFERROR(VLOOKUP(9686,Gastos[],5,FALSE),"BORRADO")</f>
        <v>BORRADO</v>
      </c>
      <c r="F414" s="41" t="str">
        <f>IFERROR(VLOOKUP(9686,Gastos[],6,FALSE),"BORRADO")</f>
        <v>BORRADO</v>
      </c>
      <c r="G414" s="40" t="str">
        <f>IFERROR(VLOOKUP(9686,Gastos[],7,FALSE),"BORRADO")</f>
        <v>BORRADO</v>
      </c>
      <c r="H414" s="40" t="str">
        <f>IFERROR(VLOOKUP(9686,Gastos[],8,FALSE),"BORRADO")</f>
        <v>BORRADO</v>
      </c>
      <c r="I414" s="40" t="str">
        <f>IFERROR(VLOOKUP(9686,Gastos[],9,FALSE),"BORRADO")</f>
        <v>BORRADO</v>
      </c>
    </row>
    <row r="415" spans="1:9">
      <c r="A415" s="38" t="s">
        <v>355</v>
      </c>
      <c r="B415" s="39" t="str">
        <f>IFERROR(VLOOKUP(9687,Gastos[],2,FALSE),"BORRADO")</f>
        <v>BORRADO</v>
      </c>
      <c r="C415" s="40" t="str">
        <f>IFERROR(VLOOKUP(9687,Gastos[],3,FALSE),"BORRADO")</f>
        <v>BORRADO</v>
      </c>
      <c r="D415" s="41" t="str">
        <f>IFERROR(VLOOKUP(9687,Gastos[],4,FALSE),"BORRADO")</f>
        <v>BORRADO</v>
      </c>
      <c r="E415" s="42" t="str">
        <f>IFERROR(VLOOKUP(9687,Gastos[],5,FALSE),"BORRADO")</f>
        <v>BORRADO</v>
      </c>
      <c r="F415" s="41" t="str">
        <f>IFERROR(VLOOKUP(9687,Gastos[],6,FALSE),"BORRADO")</f>
        <v>BORRADO</v>
      </c>
      <c r="G415" s="40" t="str">
        <f>IFERROR(VLOOKUP(9687,Gastos[],7,FALSE),"BORRADO")</f>
        <v>BORRADO</v>
      </c>
      <c r="H415" s="40" t="str">
        <f>IFERROR(VLOOKUP(9687,Gastos[],8,FALSE),"BORRADO")</f>
        <v>BORRADO</v>
      </c>
      <c r="I415" s="40" t="str">
        <f>IFERROR(VLOOKUP(9687,Gastos[],9,FALSE),"BORRADO")</f>
        <v>BORRADO</v>
      </c>
    </row>
    <row r="416" spans="1:9">
      <c r="A416" s="38" t="s">
        <v>355</v>
      </c>
      <c r="B416" s="39" t="str">
        <f>IFERROR(VLOOKUP(9688,Gastos[],2,FALSE),"BORRADO")</f>
        <v>BORRADO</v>
      </c>
      <c r="C416" s="40" t="str">
        <f>IFERROR(VLOOKUP(9688,Gastos[],3,FALSE),"BORRADO")</f>
        <v>BORRADO</v>
      </c>
      <c r="D416" s="41" t="str">
        <f>IFERROR(VLOOKUP(9688,Gastos[],4,FALSE),"BORRADO")</f>
        <v>BORRADO</v>
      </c>
      <c r="E416" s="42" t="str">
        <f>IFERROR(VLOOKUP(9688,Gastos[],5,FALSE),"BORRADO")</f>
        <v>BORRADO</v>
      </c>
      <c r="F416" s="41" t="str">
        <f>IFERROR(VLOOKUP(9688,Gastos[],6,FALSE),"BORRADO")</f>
        <v>BORRADO</v>
      </c>
      <c r="G416" s="40" t="str">
        <f>IFERROR(VLOOKUP(9688,Gastos[],7,FALSE),"BORRADO")</f>
        <v>BORRADO</v>
      </c>
      <c r="H416" s="40" t="str">
        <f>IFERROR(VLOOKUP(9688,Gastos[],8,FALSE),"BORRADO")</f>
        <v>BORRADO</v>
      </c>
      <c r="I416" s="40" t="str">
        <f>IFERROR(VLOOKUP(9688,Gastos[],9,FALSE),"BORRADO")</f>
        <v>BORRADO</v>
      </c>
    </row>
    <row r="417" spans="1:9">
      <c r="A417" s="38" t="s">
        <v>355</v>
      </c>
      <c r="B417" s="39" t="str">
        <f>IFERROR(VLOOKUP(9689,Gastos[],2,FALSE),"BORRADO")</f>
        <v>BORRADO</v>
      </c>
      <c r="C417" s="40" t="str">
        <f>IFERROR(VLOOKUP(9689,Gastos[],3,FALSE),"BORRADO")</f>
        <v>BORRADO</v>
      </c>
      <c r="D417" s="41" t="str">
        <f>IFERROR(VLOOKUP(9689,Gastos[],4,FALSE),"BORRADO")</f>
        <v>BORRADO</v>
      </c>
      <c r="E417" s="42" t="str">
        <f>IFERROR(VLOOKUP(9689,Gastos[],5,FALSE),"BORRADO")</f>
        <v>BORRADO</v>
      </c>
      <c r="F417" s="41" t="str">
        <f>IFERROR(VLOOKUP(9689,Gastos[],6,FALSE),"BORRADO")</f>
        <v>BORRADO</v>
      </c>
      <c r="G417" s="40" t="str">
        <f>IFERROR(VLOOKUP(9689,Gastos[],7,FALSE),"BORRADO")</f>
        <v>BORRADO</v>
      </c>
      <c r="H417" s="40" t="str">
        <f>IFERROR(VLOOKUP(9689,Gastos[],8,FALSE),"BORRADO")</f>
        <v>BORRADO</v>
      </c>
      <c r="I417" s="40" t="str">
        <f>IFERROR(VLOOKUP(9689,Gastos[],9,FALSE),"BORRADO")</f>
        <v>BORRADO</v>
      </c>
    </row>
    <row r="418" spans="1:9">
      <c r="A418" s="38" t="s">
        <v>355</v>
      </c>
      <c r="B418" s="39" t="str">
        <f>IFERROR(VLOOKUP(9690,Gastos[],2,FALSE),"BORRADO")</f>
        <v>BORRADO</v>
      </c>
      <c r="C418" s="40" t="str">
        <f>IFERROR(VLOOKUP(9690,Gastos[],3,FALSE),"BORRADO")</f>
        <v>BORRADO</v>
      </c>
      <c r="D418" s="41" t="str">
        <f>IFERROR(VLOOKUP(9690,Gastos[],4,FALSE),"BORRADO")</f>
        <v>BORRADO</v>
      </c>
      <c r="E418" s="42" t="str">
        <f>IFERROR(VLOOKUP(9690,Gastos[],5,FALSE),"BORRADO")</f>
        <v>BORRADO</v>
      </c>
      <c r="F418" s="41" t="str">
        <f>IFERROR(VLOOKUP(9690,Gastos[],6,FALSE),"BORRADO")</f>
        <v>BORRADO</v>
      </c>
      <c r="G418" s="40" t="str">
        <f>IFERROR(VLOOKUP(9690,Gastos[],7,FALSE),"BORRADO")</f>
        <v>BORRADO</v>
      </c>
      <c r="H418" s="40" t="str">
        <f>IFERROR(VLOOKUP(9690,Gastos[],8,FALSE),"BORRADO")</f>
        <v>BORRADO</v>
      </c>
      <c r="I418" s="40" t="str">
        <f>IFERROR(VLOOKUP(9690,Gastos[],9,FALSE),"BORRADO")</f>
        <v>BORRADO</v>
      </c>
    </row>
    <row r="419" spans="1:9">
      <c r="A419" s="38" t="s">
        <v>355</v>
      </c>
      <c r="B419" s="39" t="str">
        <f>IFERROR(VLOOKUP(9691,Gastos[],2,FALSE),"BORRADO")</f>
        <v>BORRADO</v>
      </c>
      <c r="C419" s="40" t="str">
        <f>IFERROR(VLOOKUP(9691,Gastos[],3,FALSE),"BORRADO")</f>
        <v>BORRADO</v>
      </c>
      <c r="D419" s="41" t="str">
        <f>IFERROR(VLOOKUP(9691,Gastos[],4,FALSE),"BORRADO")</f>
        <v>BORRADO</v>
      </c>
      <c r="E419" s="42" t="str">
        <f>IFERROR(VLOOKUP(9691,Gastos[],5,FALSE),"BORRADO")</f>
        <v>BORRADO</v>
      </c>
      <c r="F419" s="41" t="str">
        <f>IFERROR(VLOOKUP(9691,Gastos[],6,FALSE),"BORRADO")</f>
        <v>BORRADO</v>
      </c>
      <c r="G419" s="40" t="str">
        <f>IFERROR(VLOOKUP(9691,Gastos[],7,FALSE),"BORRADO")</f>
        <v>BORRADO</v>
      </c>
      <c r="H419" s="40" t="str">
        <f>IFERROR(VLOOKUP(9691,Gastos[],8,FALSE),"BORRADO")</f>
        <v>BORRADO</v>
      </c>
      <c r="I419" s="40" t="str">
        <f>IFERROR(VLOOKUP(9691,Gastos[],9,FALSE),"BORRADO")</f>
        <v>BORRADO</v>
      </c>
    </row>
    <row r="420" spans="1:9">
      <c r="A420" s="38" t="s">
        <v>355</v>
      </c>
      <c r="B420" s="39" t="str">
        <f>IFERROR(VLOOKUP(9692,Gastos[],2,FALSE),"BORRADO")</f>
        <v>BORRADO</v>
      </c>
      <c r="C420" s="40" t="str">
        <f>IFERROR(VLOOKUP(9692,Gastos[],3,FALSE),"BORRADO")</f>
        <v>BORRADO</v>
      </c>
      <c r="D420" s="41" t="str">
        <f>IFERROR(VLOOKUP(9692,Gastos[],4,FALSE),"BORRADO")</f>
        <v>BORRADO</v>
      </c>
      <c r="E420" s="42" t="str">
        <f>IFERROR(VLOOKUP(9692,Gastos[],5,FALSE),"BORRADO")</f>
        <v>BORRADO</v>
      </c>
      <c r="F420" s="41" t="str">
        <f>IFERROR(VLOOKUP(9692,Gastos[],6,FALSE),"BORRADO")</f>
        <v>BORRADO</v>
      </c>
      <c r="G420" s="40" t="str">
        <f>IFERROR(VLOOKUP(9692,Gastos[],7,FALSE),"BORRADO")</f>
        <v>BORRADO</v>
      </c>
      <c r="H420" s="40" t="str">
        <f>IFERROR(VLOOKUP(9692,Gastos[],8,FALSE),"BORRADO")</f>
        <v>BORRADO</v>
      </c>
      <c r="I420" s="40" t="str">
        <f>IFERROR(VLOOKUP(9692,Gastos[],9,FALSE),"BORRADO")</f>
        <v>BORRADO</v>
      </c>
    </row>
    <row r="421" spans="1:9">
      <c r="A421" s="38" t="s">
        <v>355</v>
      </c>
      <c r="B421" s="39" t="str">
        <f>IFERROR(VLOOKUP(9693,Gastos[],2,FALSE),"BORRADO")</f>
        <v>BORRADO</v>
      </c>
      <c r="C421" s="40" t="str">
        <f>IFERROR(VLOOKUP(9693,Gastos[],3,FALSE),"BORRADO")</f>
        <v>BORRADO</v>
      </c>
      <c r="D421" s="41" t="str">
        <f>IFERROR(VLOOKUP(9693,Gastos[],4,FALSE),"BORRADO")</f>
        <v>BORRADO</v>
      </c>
      <c r="E421" s="42" t="str">
        <f>IFERROR(VLOOKUP(9693,Gastos[],5,FALSE),"BORRADO")</f>
        <v>BORRADO</v>
      </c>
      <c r="F421" s="41" t="str">
        <f>IFERROR(VLOOKUP(9693,Gastos[],6,FALSE),"BORRADO")</f>
        <v>BORRADO</v>
      </c>
      <c r="G421" s="40" t="str">
        <f>IFERROR(VLOOKUP(9693,Gastos[],7,FALSE),"BORRADO")</f>
        <v>BORRADO</v>
      </c>
      <c r="H421" s="40" t="str">
        <f>IFERROR(VLOOKUP(9693,Gastos[],8,FALSE),"BORRADO")</f>
        <v>BORRADO</v>
      </c>
      <c r="I421" s="40" t="str">
        <f>IFERROR(VLOOKUP(9693,Gastos[],9,FALSE),"BORRADO")</f>
        <v>BORRADO</v>
      </c>
    </row>
    <row r="422" spans="1:9">
      <c r="A422" s="38" t="s">
        <v>355</v>
      </c>
      <c r="B422" s="39" t="str">
        <f>IFERROR(VLOOKUP(9694,Gastos[],2,FALSE),"BORRADO")</f>
        <v>BORRADO</v>
      </c>
      <c r="C422" s="40" t="str">
        <f>IFERROR(VLOOKUP(9694,Gastos[],3,FALSE),"BORRADO")</f>
        <v>BORRADO</v>
      </c>
      <c r="D422" s="41" t="str">
        <f>IFERROR(VLOOKUP(9694,Gastos[],4,FALSE),"BORRADO")</f>
        <v>BORRADO</v>
      </c>
      <c r="E422" s="42" t="str">
        <f>IFERROR(VLOOKUP(9694,Gastos[],5,FALSE),"BORRADO")</f>
        <v>BORRADO</v>
      </c>
      <c r="F422" s="41" t="str">
        <f>IFERROR(VLOOKUP(9694,Gastos[],6,FALSE),"BORRADO")</f>
        <v>BORRADO</v>
      </c>
      <c r="G422" s="40" t="str">
        <f>IFERROR(VLOOKUP(9694,Gastos[],7,FALSE),"BORRADO")</f>
        <v>BORRADO</v>
      </c>
      <c r="H422" s="40" t="str">
        <f>IFERROR(VLOOKUP(9694,Gastos[],8,FALSE),"BORRADO")</f>
        <v>BORRADO</v>
      </c>
      <c r="I422" s="40" t="str">
        <f>IFERROR(VLOOKUP(9694,Gastos[],9,FALSE),"BORRADO")</f>
        <v>BORRADO</v>
      </c>
    </row>
    <row r="423" spans="1:9">
      <c r="A423" s="38" t="s">
        <v>355</v>
      </c>
      <c r="B423" s="39" t="str">
        <f>IFERROR(VLOOKUP(9695,Gastos[],2,FALSE),"BORRADO")</f>
        <v>BORRADO</v>
      </c>
      <c r="C423" s="40" t="str">
        <f>IFERROR(VLOOKUP(9695,Gastos[],3,FALSE),"BORRADO")</f>
        <v>BORRADO</v>
      </c>
      <c r="D423" s="41" t="str">
        <f>IFERROR(VLOOKUP(9695,Gastos[],4,FALSE),"BORRADO")</f>
        <v>BORRADO</v>
      </c>
      <c r="E423" s="42" t="str">
        <f>IFERROR(VLOOKUP(9695,Gastos[],5,FALSE),"BORRADO")</f>
        <v>BORRADO</v>
      </c>
      <c r="F423" s="41" t="str">
        <f>IFERROR(VLOOKUP(9695,Gastos[],6,FALSE),"BORRADO")</f>
        <v>BORRADO</v>
      </c>
      <c r="G423" s="40" t="str">
        <f>IFERROR(VLOOKUP(9695,Gastos[],7,FALSE),"BORRADO")</f>
        <v>BORRADO</v>
      </c>
      <c r="H423" s="40" t="str">
        <f>IFERROR(VLOOKUP(9695,Gastos[],8,FALSE),"BORRADO")</f>
        <v>BORRADO</v>
      </c>
      <c r="I423" s="40" t="str">
        <f>IFERROR(VLOOKUP(9695,Gastos[],9,FALSE),"BORRADO")</f>
        <v>BORRADO</v>
      </c>
    </row>
    <row r="424" spans="1:9">
      <c r="A424" s="38" t="s">
        <v>355</v>
      </c>
      <c r="B424" s="39" t="str">
        <f>IFERROR(VLOOKUP(9696,Gastos[],2,FALSE),"BORRADO")</f>
        <v>BORRADO</v>
      </c>
      <c r="C424" s="40" t="str">
        <f>IFERROR(VLOOKUP(9696,Gastos[],3,FALSE),"BORRADO")</f>
        <v>BORRADO</v>
      </c>
      <c r="D424" s="41" t="str">
        <f>IFERROR(VLOOKUP(9696,Gastos[],4,FALSE),"BORRADO")</f>
        <v>BORRADO</v>
      </c>
      <c r="E424" s="42" t="str">
        <f>IFERROR(VLOOKUP(9696,Gastos[],5,FALSE),"BORRADO")</f>
        <v>BORRADO</v>
      </c>
      <c r="F424" s="41" t="str">
        <f>IFERROR(VLOOKUP(9696,Gastos[],6,FALSE),"BORRADO")</f>
        <v>BORRADO</v>
      </c>
      <c r="G424" s="40" t="str">
        <f>IFERROR(VLOOKUP(9696,Gastos[],7,FALSE),"BORRADO")</f>
        <v>BORRADO</v>
      </c>
      <c r="H424" s="40" t="str">
        <f>IFERROR(VLOOKUP(9696,Gastos[],8,FALSE),"BORRADO")</f>
        <v>BORRADO</v>
      </c>
      <c r="I424" s="40" t="str">
        <f>IFERROR(VLOOKUP(9696,Gastos[],9,FALSE),"BORRADO")</f>
        <v>BORRADO</v>
      </c>
    </row>
    <row r="425" spans="1:9">
      <c r="A425" s="38" t="s">
        <v>355</v>
      </c>
      <c r="B425" s="39" t="str">
        <f>IFERROR(VLOOKUP(9697,Gastos[],2,FALSE),"BORRADO")</f>
        <v>BORRADO</v>
      </c>
      <c r="C425" s="40" t="str">
        <f>IFERROR(VLOOKUP(9697,Gastos[],3,FALSE),"BORRADO")</f>
        <v>BORRADO</v>
      </c>
      <c r="D425" s="41" t="str">
        <f>IFERROR(VLOOKUP(9697,Gastos[],4,FALSE),"BORRADO")</f>
        <v>BORRADO</v>
      </c>
      <c r="E425" s="42" t="str">
        <f>IFERROR(VLOOKUP(9697,Gastos[],5,FALSE),"BORRADO")</f>
        <v>BORRADO</v>
      </c>
      <c r="F425" s="41" t="str">
        <f>IFERROR(VLOOKUP(9697,Gastos[],6,FALSE),"BORRADO")</f>
        <v>BORRADO</v>
      </c>
      <c r="G425" s="40" t="str">
        <f>IFERROR(VLOOKUP(9697,Gastos[],7,FALSE),"BORRADO")</f>
        <v>BORRADO</v>
      </c>
      <c r="H425" s="40" t="str">
        <f>IFERROR(VLOOKUP(9697,Gastos[],8,FALSE),"BORRADO")</f>
        <v>BORRADO</v>
      </c>
      <c r="I425" s="40" t="str">
        <f>IFERROR(VLOOKUP(9697,Gastos[],9,FALSE),"BORRADO")</f>
        <v>BORRADO</v>
      </c>
    </row>
    <row r="426" spans="1:9">
      <c r="A426" s="38" t="s">
        <v>355</v>
      </c>
      <c r="B426" s="39" t="str">
        <f>IFERROR(VLOOKUP(9698,Gastos[],2,FALSE),"BORRADO")</f>
        <v>BORRADO</v>
      </c>
      <c r="C426" s="40" t="str">
        <f>IFERROR(VLOOKUP(9698,Gastos[],3,FALSE),"BORRADO")</f>
        <v>BORRADO</v>
      </c>
      <c r="D426" s="41" t="str">
        <f>IFERROR(VLOOKUP(9698,Gastos[],4,FALSE),"BORRADO")</f>
        <v>BORRADO</v>
      </c>
      <c r="E426" s="42" t="str">
        <f>IFERROR(VLOOKUP(9698,Gastos[],5,FALSE),"BORRADO")</f>
        <v>BORRADO</v>
      </c>
      <c r="F426" s="41" t="str">
        <f>IFERROR(VLOOKUP(9698,Gastos[],6,FALSE),"BORRADO")</f>
        <v>BORRADO</v>
      </c>
      <c r="G426" s="40" t="str">
        <f>IFERROR(VLOOKUP(9698,Gastos[],7,FALSE),"BORRADO")</f>
        <v>BORRADO</v>
      </c>
      <c r="H426" s="40" t="str">
        <f>IFERROR(VLOOKUP(9698,Gastos[],8,FALSE),"BORRADO")</f>
        <v>BORRADO</v>
      </c>
      <c r="I426" s="40" t="str">
        <f>IFERROR(VLOOKUP(9698,Gastos[],9,FALSE),"BORRADO")</f>
        <v>BORRADO</v>
      </c>
    </row>
    <row r="427" spans="1:9">
      <c r="A427" s="38" t="s">
        <v>355</v>
      </c>
      <c r="B427" s="39" t="str">
        <f>IFERROR(VLOOKUP(9699,Gastos[],2,FALSE),"BORRADO")</f>
        <v>BORRADO</v>
      </c>
      <c r="C427" s="40" t="str">
        <f>IFERROR(VLOOKUP(9699,Gastos[],3,FALSE),"BORRADO")</f>
        <v>BORRADO</v>
      </c>
      <c r="D427" s="41" t="str">
        <f>IFERROR(VLOOKUP(9699,Gastos[],4,FALSE),"BORRADO")</f>
        <v>BORRADO</v>
      </c>
      <c r="E427" s="42" t="str">
        <f>IFERROR(VLOOKUP(9699,Gastos[],5,FALSE),"BORRADO")</f>
        <v>BORRADO</v>
      </c>
      <c r="F427" s="41" t="str">
        <f>IFERROR(VLOOKUP(9699,Gastos[],6,FALSE),"BORRADO")</f>
        <v>BORRADO</v>
      </c>
      <c r="G427" s="40" t="str">
        <f>IFERROR(VLOOKUP(9699,Gastos[],7,FALSE),"BORRADO")</f>
        <v>BORRADO</v>
      </c>
      <c r="H427" s="40" t="str">
        <f>IFERROR(VLOOKUP(9699,Gastos[],8,FALSE),"BORRADO")</f>
        <v>BORRADO</v>
      </c>
      <c r="I427" s="40" t="str">
        <f>IFERROR(VLOOKUP(9699,Gastos[],9,FALSE),"BORRADO")</f>
        <v>BORRADO</v>
      </c>
    </row>
    <row r="428" spans="1:9">
      <c r="A428" s="38" t="s">
        <v>353</v>
      </c>
      <c r="B428" s="39">
        <f>IFERROR(VLOOKUP(2148,Chequeras[],2,FALSE),"BORRADO")</f>
        <v>43006</v>
      </c>
      <c r="C428" s="40" t="str">
        <f>IFERROR(VLOOKUP(2148,Chequeras[],3,FALSE),"BORRADO")</f>
        <v>01670214</v>
      </c>
      <c r="D428" s="41">
        <f>IFERROR(VLOOKUP(2148,Chequeras[],4,FALSE),"BORRADO")</f>
        <v>-33000</v>
      </c>
      <c r="E428" s="42">
        <f>IFERROR(VLOOKUP(2148,Chequeras[],5,FALSE),"BORRADO")</f>
        <v>43007</v>
      </c>
      <c r="F428" s="41">
        <f ca="1">IFERROR(VLOOKUP(2148,Chequeras[],6,FALSE),"BORRADO")</f>
        <v>11208</v>
      </c>
      <c r="G428" s="40" t="str">
        <f>IFERROR(VLOOKUP(2148,Chequeras[],7,FALSE),"BORRADO")</f>
        <v>RR</v>
      </c>
      <c r="H428" s="40" t="str">
        <f>IFERROR(VLOOKUP(2148,Chequeras[],8,FALSE),"BORRADO")</f>
        <v>lh</v>
      </c>
      <c r="I428" s="40">
        <f>IFERROR(VLOOKUP(2148,Chequeras[],9,FALSE),"BORRADO")</f>
        <v>94</v>
      </c>
    </row>
    <row r="429" spans="1:9">
      <c r="A429" s="38" t="s">
        <v>353</v>
      </c>
      <c r="B429" s="39">
        <f>IFERROR(VLOOKUP(2150,Chequeras[],2,FALSE),"BORRADO")</f>
        <v>43006</v>
      </c>
      <c r="C429" s="40" t="str">
        <f>IFERROR(VLOOKUP(2150,Chequeras[],3,FALSE),"BORRADO")</f>
        <v>01670216</v>
      </c>
      <c r="D429" s="41">
        <f>IFERROR(VLOOKUP(2150,Chequeras[],4,FALSE),"BORRADO")</f>
        <v>-50000</v>
      </c>
      <c r="E429" s="42">
        <f>IFERROR(VLOOKUP(2150,Chequeras[],5,FALSE),"BORRADO")</f>
        <v>43010</v>
      </c>
      <c r="F429" s="41">
        <f ca="1">IFERROR(VLOOKUP(2150,Chequeras[],6,FALSE),"BORRADO")</f>
        <v>35714</v>
      </c>
      <c r="G429" s="40" t="str">
        <f>IFERROR(VLOOKUP(2150,Chequeras[],7,FALSE),"BORRADO")</f>
        <v>RR</v>
      </c>
      <c r="H429" s="40" t="str">
        <f>IFERROR(VLOOKUP(2150,Chequeras[],8,FALSE),"BORRADO")</f>
        <v>lh</v>
      </c>
      <c r="I429" s="40">
        <f>IFERROR(VLOOKUP(2150,Chequeras[],9,FALSE),"BORRADO")</f>
        <v>94</v>
      </c>
    </row>
    <row r="430" spans="1:9">
      <c r="A430" s="38" t="s">
        <v>353</v>
      </c>
      <c r="B430" s="39">
        <f>IFERROR(VLOOKUP(2149,Chequeras[],2,FALSE),"BORRADO")</f>
        <v>43006</v>
      </c>
      <c r="C430" s="40" t="str">
        <f>IFERROR(VLOOKUP(2149,Chequeras[],3,FALSE),"BORRADO")</f>
        <v>01670215</v>
      </c>
      <c r="D430" s="41">
        <f>IFERROR(VLOOKUP(2149,Chequeras[],4,FALSE),"BORRADO")</f>
        <v>-9430.33</v>
      </c>
      <c r="E430" s="42">
        <f>IFERROR(VLOOKUP(2149,Chequeras[],5,FALSE),"BORRADO")</f>
        <v>43011</v>
      </c>
      <c r="F430" s="41">
        <f ca="1">IFERROR(VLOOKUP(2149,Chequeras[],6,FALSE),"BORRADO")</f>
        <v>8356</v>
      </c>
      <c r="G430" s="40" t="str">
        <f>IFERROR(VLOOKUP(2149,Chequeras[],7,FALSE),"BORRADO")</f>
        <v>RR Martha 29/09/2017</v>
      </c>
      <c r="H430" s="40" t="str">
        <f>IFERROR(VLOOKUP(2149,Chequeras[],8,FALSE),"BORRADO")</f>
        <v>lh</v>
      </c>
      <c r="I430" s="40">
        <f>IFERROR(VLOOKUP(2149,Chequeras[],9,FALSE),"BORRADO")</f>
        <v>94</v>
      </c>
    </row>
    <row r="431" spans="1:9">
      <c r="A431" s="38" t="s">
        <v>353</v>
      </c>
      <c r="B431" s="39">
        <f>IFERROR(VLOOKUP(2166,Chequeras[],2,FALSE),"BORRADO")</f>
        <v>43007</v>
      </c>
      <c r="C431" s="40" t="str">
        <f>IFERROR(VLOOKUP(2166,Chequeras[],3,FALSE),"BORRADO")</f>
        <v>01670234</v>
      </c>
      <c r="D431" s="41">
        <f>IFERROR(VLOOKUP(2166,Chequeras[],4,FALSE),"BORRADO")</f>
        <v>0</v>
      </c>
      <c r="E431" s="42">
        <f>IFERROR(VLOOKUP(2166,Chequeras[],5,FALSE),"BORRADO")</f>
        <v>43007</v>
      </c>
      <c r="F431" s="41">
        <f ca="1">IFERROR(VLOOKUP(2166,Chequeras[],6,FALSE),"BORRADO")</f>
        <v>0</v>
      </c>
      <c r="G431" s="40" t="str">
        <f>IFERROR(VLOOKUP(2166,Chequeras[],7,FALSE),"BORRADO")</f>
        <v>Anulado</v>
      </c>
      <c r="H431" s="40" t="str">
        <f>IFERROR(VLOOKUP(2166,Chequeras[],8,FALSE),"BORRADO")</f>
        <v>lh</v>
      </c>
      <c r="I431" s="40">
        <f>IFERROR(VLOOKUP(2166,Chequeras[],9,FALSE),"BORRADO")</f>
        <v>95</v>
      </c>
    </row>
    <row r="432" spans="1:9">
      <c r="A432" s="38" t="s">
        <v>355</v>
      </c>
      <c r="B432" s="39" t="str">
        <f>IFERROR(VLOOKUP(9700,Gastos[],2,FALSE),"BORRADO")</f>
        <v>BORRADO</v>
      </c>
      <c r="C432" s="40" t="str">
        <f>IFERROR(VLOOKUP(9700,Gastos[],3,FALSE),"BORRADO")</f>
        <v>BORRADO</v>
      </c>
      <c r="D432" s="41" t="str">
        <f>IFERROR(VLOOKUP(9700,Gastos[],4,FALSE),"BORRADO")</f>
        <v>BORRADO</v>
      </c>
      <c r="E432" s="42" t="str">
        <f>IFERROR(VLOOKUP(9700,Gastos[],5,FALSE),"BORRADO")</f>
        <v>BORRADO</v>
      </c>
      <c r="F432" s="41" t="str">
        <f>IFERROR(VLOOKUP(9700,Gastos[],6,FALSE),"BORRADO")</f>
        <v>BORRADO</v>
      </c>
      <c r="G432" s="40" t="str">
        <f>IFERROR(VLOOKUP(9700,Gastos[],7,FALSE),"BORRADO")</f>
        <v>BORRADO</v>
      </c>
      <c r="H432" s="40" t="str">
        <f>IFERROR(VLOOKUP(9700,Gastos[],8,FALSE),"BORRADO")</f>
        <v>BORRADO</v>
      </c>
      <c r="I432" s="40" t="str">
        <f>IFERROR(VLOOKUP(9700,Gastos[],9,FALSE),"BORRADO")</f>
        <v>BORRADO</v>
      </c>
    </row>
    <row r="433" spans="1:9">
      <c r="A433" s="38" t="s">
        <v>355</v>
      </c>
      <c r="B433" s="39" t="str">
        <f>IFERROR(VLOOKUP(9701,Gastos[],2,FALSE),"BORRADO")</f>
        <v>BORRADO</v>
      </c>
      <c r="C433" s="40" t="str">
        <f>IFERROR(VLOOKUP(9701,Gastos[],3,FALSE),"BORRADO")</f>
        <v>BORRADO</v>
      </c>
      <c r="D433" s="41" t="str">
        <f>IFERROR(VLOOKUP(9701,Gastos[],4,FALSE),"BORRADO")</f>
        <v>BORRADO</v>
      </c>
      <c r="E433" s="42" t="str">
        <f>IFERROR(VLOOKUP(9701,Gastos[],5,FALSE),"BORRADO")</f>
        <v>BORRADO</v>
      </c>
      <c r="F433" s="41" t="str">
        <f>IFERROR(VLOOKUP(9701,Gastos[],6,FALSE),"BORRADO")</f>
        <v>BORRADO</v>
      </c>
      <c r="G433" s="40" t="str">
        <f>IFERROR(VLOOKUP(9701,Gastos[],7,FALSE),"BORRADO")</f>
        <v>BORRADO</v>
      </c>
      <c r="H433" s="40" t="str">
        <f>IFERROR(VLOOKUP(9701,Gastos[],8,FALSE),"BORRADO")</f>
        <v>BORRADO</v>
      </c>
      <c r="I433" s="40" t="str">
        <f>IFERROR(VLOOKUP(9701,Gastos[],9,FALSE),"BORRADO")</f>
        <v>BORRADO</v>
      </c>
    </row>
    <row r="434" spans="1:9">
      <c r="A434" s="38" t="s">
        <v>355</v>
      </c>
      <c r="B434" s="39" t="str">
        <f>IFERROR(VLOOKUP(9702,Gastos[],2,FALSE),"BORRADO")</f>
        <v>BORRADO</v>
      </c>
      <c r="C434" s="40" t="str">
        <f>IFERROR(VLOOKUP(9702,Gastos[],3,FALSE),"BORRADO")</f>
        <v>BORRADO</v>
      </c>
      <c r="D434" s="41" t="str">
        <f>IFERROR(VLOOKUP(9702,Gastos[],4,FALSE),"BORRADO")</f>
        <v>BORRADO</v>
      </c>
      <c r="E434" s="42" t="str">
        <f>IFERROR(VLOOKUP(9702,Gastos[],5,FALSE),"BORRADO")</f>
        <v>BORRADO</v>
      </c>
      <c r="F434" s="41" t="str">
        <f>IFERROR(VLOOKUP(9702,Gastos[],6,FALSE),"BORRADO")</f>
        <v>BORRADO</v>
      </c>
      <c r="G434" s="40" t="str">
        <f>IFERROR(VLOOKUP(9702,Gastos[],7,FALSE),"BORRADO")</f>
        <v>BORRADO</v>
      </c>
      <c r="H434" s="40" t="str">
        <f>IFERROR(VLOOKUP(9702,Gastos[],8,FALSE),"BORRADO")</f>
        <v>BORRADO</v>
      </c>
      <c r="I434" s="40" t="str">
        <f>IFERROR(VLOOKUP(9702,Gastos[],9,FALSE),"BORRADO")</f>
        <v>BORRADO</v>
      </c>
    </row>
    <row r="435" spans="1:9">
      <c r="A435" s="38" t="s">
        <v>355</v>
      </c>
      <c r="B435" s="39" t="str">
        <f>IFERROR(VLOOKUP(9703,Gastos[],2,FALSE),"BORRADO")</f>
        <v>BORRADO</v>
      </c>
      <c r="C435" s="40" t="str">
        <f>IFERROR(VLOOKUP(9703,Gastos[],3,FALSE),"BORRADO")</f>
        <v>BORRADO</v>
      </c>
      <c r="D435" s="41" t="str">
        <f>IFERROR(VLOOKUP(9703,Gastos[],4,FALSE),"BORRADO")</f>
        <v>BORRADO</v>
      </c>
      <c r="E435" s="42" t="str">
        <f>IFERROR(VLOOKUP(9703,Gastos[],5,FALSE),"BORRADO")</f>
        <v>BORRADO</v>
      </c>
      <c r="F435" s="41" t="str">
        <f>IFERROR(VLOOKUP(9703,Gastos[],6,FALSE),"BORRADO")</f>
        <v>BORRADO</v>
      </c>
      <c r="G435" s="40" t="str">
        <f>IFERROR(VLOOKUP(9703,Gastos[],7,FALSE),"BORRADO")</f>
        <v>BORRADO</v>
      </c>
      <c r="H435" s="40" t="str">
        <f>IFERROR(VLOOKUP(9703,Gastos[],8,FALSE),"BORRADO")</f>
        <v>BORRADO</v>
      </c>
      <c r="I435" s="40" t="str">
        <f>IFERROR(VLOOKUP(9703,Gastos[],9,FALSE),"BORRADO")</f>
        <v>BORRADO</v>
      </c>
    </row>
    <row r="436" spans="1:9">
      <c r="A436" s="38" t="s">
        <v>355</v>
      </c>
      <c r="B436" s="39" t="str">
        <f>IFERROR(VLOOKUP(9704,Gastos[],2,FALSE),"BORRADO")</f>
        <v>BORRADO</v>
      </c>
      <c r="C436" s="40" t="str">
        <f>IFERROR(VLOOKUP(9704,Gastos[],3,FALSE),"BORRADO")</f>
        <v>BORRADO</v>
      </c>
      <c r="D436" s="41" t="str">
        <f>IFERROR(VLOOKUP(9704,Gastos[],4,FALSE),"BORRADO")</f>
        <v>BORRADO</v>
      </c>
      <c r="E436" s="42" t="str">
        <f>IFERROR(VLOOKUP(9704,Gastos[],5,FALSE),"BORRADO")</f>
        <v>BORRADO</v>
      </c>
      <c r="F436" s="41" t="str">
        <f>IFERROR(VLOOKUP(9704,Gastos[],6,FALSE),"BORRADO")</f>
        <v>BORRADO</v>
      </c>
      <c r="G436" s="40" t="str">
        <f>IFERROR(VLOOKUP(9704,Gastos[],7,FALSE),"BORRADO")</f>
        <v>BORRADO</v>
      </c>
      <c r="H436" s="40" t="str">
        <f>IFERROR(VLOOKUP(9704,Gastos[],8,FALSE),"BORRADO")</f>
        <v>BORRADO</v>
      </c>
      <c r="I436" s="40" t="str">
        <f>IFERROR(VLOOKUP(9704,Gastos[],9,FALSE),"BORRADO")</f>
        <v>BORRADO</v>
      </c>
    </row>
    <row r="437" spans="1:9">
      <c r="A437" s="38" t="s">
        <v>355</v>
      </c>
      <c r="B437" s="39" t="str">
        <f>IFERROR(VLOOKUP(9705,Gastos[],2,FALSE),"BORRADO")</f>
        <v>BORRADO</v>
      </c>
      <c r="C437" s="40" t="str">
        <f>IFERROR(VLOOKUP(9705,Gastos[],3,FALSE),"BORRADO")</f>
        <v>BORRADO</v>
      </c>
      <c r="D437" s="41" t="str">
        <f>IFERROR(VLOOKUP(9705,Gastos[],4,FALSE),"BORRADO")</f>
        <v>BORRADO</v>
      </c>
      <c r="E437" s="42" t="str">
        <f>IFERROR(VLOOKUP(9705,Gastos[],5,FALSE),"BORRADO")</f>
        <v>BORRADO</v>
      </c>
      <c r="F437" s="41" t="str">
        <f>IFERROR(VLOOKUP(9705,Gastos[],6,FALSE),"BORRADO")</f>
        <v>BORRADO</v>
      </c>
      <c r="G437" s="40" t="str">
        <f>IFERROR(VLOOKUP(9705,Gastos[],7,FALSE),"BORRADO")</f>
        <v>BORRADO</v>
      </c>
      <c r="H437" s="40" t="str">
        <f>IFERROR(VLOOKUP(9705,Gastos[],8,FALSE),"BORRADO")</f>
        <v>BORRADO</v>
      </c>
      <c r="I437" s="40" t="str">
        <f>IFERROR(VLOOKUP(9705,Gastos[],9,FALSE),"BORRADO")</f>
        <v>BORRADO</v>
      </c>
    </row>
    <row r="438" spans="1:9">
      <c r="A438" s="38" t="s">
        <v>353</v>
      </c>
      <c r="B438" s="39">
        <f>IFERROR(VLOOKUP(2167,Chequeras[],2,FALSE),"BORRADO")</f>
        <v>43010</v>
      </c>
      <c r="C438" s="40" t="str">
        <f>IFERROR(VLOOKUP(2167,Chequeras[],3,FALSE),"BORRADO")</f>
        <v>01670235</v>
      </c>
      <c r="D438" s="41">
        <f>IFERROR(VLOOKUP(2167,Chequeras[],4,FALSE),"BORRADO")</f>
        <v>0</v>
      </c>
      <c r="E438" s="42">
        <f>IFERROR(VLOOKUP(2167,Chequeras[],5,FALSE),"BORRADO")</f>
        <v>43010</v>
      </c>
      <c r="F438" s="41">
        <f ca="1">IFERROR(VLOOKUP(2167,Chequeras[],6,FALSE),"BORRADO")</f>
        <v>0</v>
      </c>
      <c r="G438" s="40" t="str">
        <f>IFERROR(VLOOKUP(2167,Chequeras[],7,FALSE),"BORRADO")</f>
        <v>Anulado</v>
      </c>
      <c r="H438" s="40" t="str">
        <f>IFERROR(VLOOKUP(2167,Chequeras[],8,FALSE),"BORRADO")</f>
        <v>lh</v>
      </c>
      <c r="I438" s="40">
        <f>IFERROR(VLOOKUP(2167,Chequeras[],9,FALSE),"BORRADO")</f>
        <v>95</v>
      </c>
    </row>
    <row r="439" spans="1:9">
      <c r="A439" s="38" t="s">
        <v>353</v>
      </c>
      <c r="B439" s="39">
        <f>IFERROR(VLOOKUP(2168,Chequeras[],2,FALSE),"BORRADO")</f>
        <v>43010</v>
      </c>
      <c r="C439" s="40" t="str">
        <f>IFERROR(VLOOKUP(2168,Chequeras[],3,FALSE),"BORRADO")</f>
        <v>01670236</v>
      </c>
      <c r="D439" s="41">
        <f>IFERROR(VLOOKUP(2168,Chequeras[],4,FALSE),"BORRADO")</f>
        <v>-36471.94</v>
      </c>
      <c r="E439" s="42">
        <f>IFERROR(VLOOKUP(2168,Chequeras[],5,FALSE),"BORRADO")</f>
        <v>43010</v>
      </c>
      <c r="F439" s="41">
        <f ca="1">IFERROR(VLOOKUP(2168,Chequeras[],6,FALSE),"BORRADO")</f>
        <v>1718</v>
      </c>
      <c r="G439" s="40" t="str">
        <f>IFERROR(VLOOKUP(2168,Chequeras[],7,FALSE),"BORRADO")</f>
        <v>Bonillo Daniel H.</v>
      </c>
      <c r="H439" s="40" t="str">
        <f>IFERROR(VLOOKUP(2168,Chequeras[],8,FALSE),"BORRADO")</f>
        <v>lh</v>
      </c>
      <c r="I439" s="40">
        <f>IFERROR(VLOOKUP(2168,Chequeras[],9,FALSE),"BORRADO")</f>
        <v>95</v>
      </c>
    </row>
    <row r="440" spans="1:9">
      <c r="A440" s="38" t="s">
        <v>355</v>
      </c>
      <c r="B440" s="39" t="str">
        <f>IFERROR(VLOOKUP(9706,Gastos[],2,FALSE),"BORRADO")</f>
        <v>BORRADO</v>
      </c>
      <c r="C440" s="40" t="str">
        <f>IFERROR(VLOOKUP(9706,Gastos[],3,FALSE),"BORRADO")</f>
        <v>BORRADO</v>
      </c>
      <c r="D440" s="41" t="str">
        <f>IFERROR(VLOOKUP(9706,Gastos[],4,FALSE),"BORRADO")</f>
        <v>BORRADO</v>
      </c>
      <c r="E440" s="42" t="str">
        <f>IFERROR(VLOOKUP(9706,Gastos[],5,FALSE),"BORRADO")</f>
        <v>BORRADO</v>
      </c>
      <c r="F440" s="41" t="str">
        <f>IFERROR(VLOOKUP(9706,Gastos[],6,FALSE),"BORRADO")</f>
        <v>BORRADO</v>
      </c>
      <c r="G440" s="40" t="str">
        <f>IFERROR(VLOOKUP(9706,Gastos[],7,FALSE),"BORRADO")</f>
        <v>BORRADO</v>
      </c>
      <c r="H440" s="40" t="str">
        <f>IFERROR(VLOOKUP(9706,Gastos[],8,FALSE),"BORRADO")</f>
        <v>BORRADO</v>
      </c>
      <c r="I440" s="40" t="str">
        <f>IFERROR(VLOOKUP(9706,Gastos[],9,FALSE),"BORRADO")</f>
        <v>BORRADO</v>
      </c>
    </row>
    <row r="441" spans="1:9">
      <c r="A441" s="38" t="s">
        <v>355</v>
      </c>
      <c r="B441" s="39" t="str">
        <f>IFERROR(VLOOKUP(9707,Gastos[],2,FALSE),"BORRADO")</f>
        <v>BORRADO</v>
      </c>
      <c r="C441" s="40" t="str">
        <f>IFERROR(VLOOKUP(9707,Gastos[],3,FALSE),"BORRADO")</f>
        <v>BORRADO</v>
      </c>
      <c r="D441" s="41" t="str">
        <f>IFERROR(VLOOKUP(9707,Gastos[],4,FALSE),"BORRADO")</f>
        <v>BORRADO</v>
      </c>
      <c r="E441" s="42" t="str">
        <f>IFERROR(VLOOKUP(9707,Gastos[],5,FALSE),"BORRADO")</f>
        <v>BORRADO</v>
      </c>
      <c r="F441" s="41" t="str">
        <f>IFERROR(VLOOKUP(9707,Gastos[],6,FALSE),"BORRADO")</f>
        <v>BORRADO</v>
      </c>
      <c r="G441" s="40" t="str">
        <f>IFERROR(VLOOKUP(9707,Gastos[],7,FALSE),"BORRADO")</f>
        <v>BORRADO</v>
      </c>
      <c r="H441" s="40" t="str">
        <f>IFERROR(VLOOKUP(9707,Gastos[],8,FALSE),"BORRADO")</f>
        <v>BORRADO</v>
      </c>
      <c r="I441" s="40" t="str">
        <f>IFERROR(VLOOKUP(9707,Gastos[],9,FALSE),"BORRADO")</f>
        <v>BORRADO</v>
      </c>
    </row>
    <row r="442" spans="1:9">
      <c r="A442" s="38" t="s">
        <v>355</v>
      </c>
      <c r="B442" s="39" t="str">
        <f>IFERROR(VLOOKUP(9708,Gastos[],2,FALSE),"BORRADO")</f>
        <v>BORRADO</v>
      </c>
      <c r="C442" s="40" t="str">
        <f>IFERROR(VLOOKUP(9708,Gastos[],3,FALSE),"BORRADO")</f>
        <v>BORRADO</v>
      </c>
      <c r="D442" s="41" t="str">
        <f>IFERROR(VLOOKUP(9708,Gastos[],4,FALSE),"BORRADO")</f>
        <v>BORRADO</v>
      </c>
      <c r="E442" s="42" t="str">
        <f>IFERROR(VLOOKUP(9708,Gastos[],5,FALSE),"BORRADO")</f>
        <v>BORRADO</v>
      </c>
      <c r="F442" s="41" t="str">
        <f>IFERROR(VLOOKUP(9708,Gastos[],6,FALSE),"BORRADO")</f>
        <v>BORRADO</v>
      </c>
      <c r="G442" s="40" t="str">
        <f>IFERROR(VLOOKUP(9708,Gastos[],7,FALSE),"BORRADO")</f>
        <v>BORRADO</v>
      </c>
      <c r="H442" s="40" t="str">
        <f>IFERROR(VLOOKUP(9708,Gastos[],8,FALSE),"BORRADO")</f>
        <v>BORRADO</v>
      </c>
      <c r="I442" s="40" t="str">
        <f>IFERROR(VLOOKUP(9708,Gastos[],9,FALSE),"BORRADO")</f>
        <v>BORRADO</v>
      </c>
    </row>
    <row r="443" spans="1:9">
      <c r="A443" s="38" t="s">
        <v>355</v>
      </c>
      <c r="B443" s="39" t="str">
        <f>IFERROR(VLOOKUP(9709,Gastos[],2,FALSE),"BORRADO")</f>
        <v>BORRADO</v>
      </c>
      <c r="C443" s="40" t="str">
        <f>IFERROR(VLOOKUP(9709,Gastos[],3,FALSE),"BORRADO")</f>
        <v>BORRADO</v>
      </c>
      <c r="D443" s="41" t="str">
        <f>IFERROR(VLOOKUP(9709,Gastos[],4,FALSE),"BORRADO")</f>
        <v>BORRADO</v>
      </c>
      <c r="E443" s="42" t="str">
        <f>IFERROR(VLOOKUP(9709,Gastos[],5,FALSE),"BORRADO")</f>
        <v>BORRADO</v>
      </c>
      <c r="F443" s="41" t="str">
        <f>IFERROR(VLOOKUP(9709,Gastos[],6,FALSE),"BORRADO")</f>
        <v>BORRADO</v>
      </c>
      <c r="G443" s="40" t="str">
        <f>IFERROR(VLOOKUP(9709,Gastos[],7,FALSE),"BORRADO")</f>
        <v>BORRADO</v>
      </c>
      <c r="H443" s="40" t="str">
        <f>IFERROR(VLOOKUP(9709,Gastos[],8,FALSE),"BORRADO")</f>
        <v>BORRADO</v>
      </c>
      <c r="I443" s="40" t="str">
        <f>IFERROR(VLOOKUP(9709,Gastos[],9,FALSE),"BORRADO")</f>
        <v>BORRADO</v>
      </c>
    </row>
    <row r="444" spans="1:9">
      <c r="A444" s="38" t="s">
        <v>355</v>
      </c>
      <c r="B444" s="39" t="str">
        <f>IFERROR(VLOOKUP(9710,Gastos[],2,FALSE),"BORRADO")</f>
        <v>BORRADO</v>
      </c>
      <c r="C444" s="40" t="str">
        <f>IFERROR(VLOOKUP(9710,Gastos[],3,FALSE),"BORRADO")</f>
        <v>BORRADO</v>
      </c>
      <c r="D444" s="41" t="str">
        <f>IFERROR(VLOOKUP(9710,Gastos[],4,FALSE),"BORRADO")</f>
        <v>BORRADO</v>
      </c>
      <c r="E444" s="42" t="str">
        <f>IFERROR(VLOOKUP(9710,Gastos[],5,FALSE),"BORRADO")</f>
        <v>BORRADO</v>
      </c>
      <c r="F444" s="41" t="str">
        <f>IFERROR(VLOOKUP(9710,Gastos[],6,FALSE),"BORRADO")</f>
        <v>BORRADO</v>
      </c>
      <c r="G444" s="40" t="str">
        <f>IFERROR(VLOOKUP(9710,Gastos[],7,FALSE),"BORRADO")</f>
        <v>BORRADO</v>
      </c>
      <c r="H444" s="40" t="str">
        <f>IFERROR(VLOOKUP(9710,Gastos[],8,FALSE),"BORRADO")</f>
        <v>BORRADO</v>
      </c>
      <c r="I444" s="40" t="str">
        <f>IFERROR(VLOOKUP(9710,Gastos[],9,FALSE),"BORRADO")</f>
        <v>BORRADO</v>
      </c>
    </row>
    <row r="445" spans="1:9">
      <c r="A445" s="38" t="s">
        <v>355</v>
      </c>
      <c r="B445" s="39" t="str">
        <f>IFERROR(VLOOKUP(9711,Gastos[],2,FALSE),"BORRADO")</f>
        <v>BORRADO</v>
      </c>
      <c r="C445" s="40" t="str">
        <f>IFERROR(VLOOKUP(9711,Gastos[],3,FALSE),"BORRADO")</f>
        <v>BORRADO</v>
      </c>
      <c r="D445" s="41" t="str">
        <f>IFERROR(VLOOKUP(9711,Gastos[],4,FALSE),"BORRADO")</f>
        <v>BORRADO</v>
      </c>
      <c r="E445" s="42" t="str">
        <f>IFERROR(VLOOKUP(9711,Gastos[],5,FALSE),"BORRADO")</f>
        <v>BORRADO</v>
      </c>
      <c r="F445" s="41" t="str">
        <f>IFERROR(VLOOKUP(9711,Gastos[],6,FALSE),"BORRADO")</f>
        <v>BORRADO</v>
      </c>
      <c r="G445" s="40" t="str">
        <f>IFERROR(VLOOKUP(9711,Gastos[],7,FALSE),"BORRADO")</f>
        <v>BORRADO</v>
      </c>
      <c r="H445" s="40" t="str">
        <f>IFERROR(VLOOKUP(9711,Gastos[],8,FALSE),"BORRADO")</f>
        <v>BORRADO</v>
      </c>
      <c r="I445" s="40" t="str">
        <f>IFERROR(VLOOKUP(9711,Gastos[],9,FALSE),"BORRADO")</f>
        <v>BORRADO</v>
      </c>
    </row>
    <row r="446" spans="1:9">
      <c r="A446" s="38" t="s">
        <v>355</v>
      </c>
      <c r="B446" s="39" t="str">
        <f>IFERROR(VLOOKUP(9712,Gastos[],2,FALSE),"BORRADO")</f>
        <v>BORRADO</v>
      </c>
      <c r="C446" s="40" t="str">
        <f>IFERROR(VLOOKUP(9712,Gastos[],3,FALSE),"BORRADO")</f>
        <v>BORRADO</v>
      </c>
      <c r="D446" s="41" t="str">
        <f>IFERROR(VLOOKUP(9712,Gastos[],4,FALSE),"BORRADO")</f>
        <v>BORRADO</v>
      </c>
      <c r="E446" s="42" t="str">
        <f>IFERROR(VLOOKUP(9712,Gastos[],5,FALSE),"BORRADO")</f>
        <v>BORRADO</v>
      </c>
      <c r="F446" s="41" t="str">
        <f>IFERROR(VLOOKUP(9712,Gastos[],6,FALSE),"BORRADO")</f>
        <v>BORRADO</v>
      </c>
      <c r="G446" s="40" t="str">
        <f>IFERROR(VLOOKUP(9712,Gastos[],7,FALSE),"BORRADO")</f>
        <v>BORRADO</v>
      </c>
      <c r="H446" s="40" t="str">
        <f>IFERROR(VLOOKUP(9712,Gastos[],8,FALSE),"BORRADO")</f>
        <v>BORRADO</v>
      </c>
      <c r="I446" s="40" t="str">
        <f>IFERROR(VLOOKUP(9712,Gastos[],9,FALSE),"BORRADO")</f>
        <v>BORRADO</v>
      </c>
    </row>
    <row r="447" spans="1:9">
      <c r="A447" s="38" t="s">
        <v>355</v>
      </c>
      <c r="B447" s="39" t="str">
        <f>IFERROR(VLOOKUP(9713,Gastos[],2,FALSE),"BORRADO")</f>
        <v>BORRADO</v>
      </c>
      <c r="C447" s="40" t="str">
        <f>IFERROR(VLOOKUP(9713,Gastos[],3,FALSE),"BORRADO")</f>
        <v>BORRADO</v>
      </c>
      <c r="D447" s="41" t="str">
        <f>IFERROR(VLOOKUP(9713,Gastos[],4,FALSE),"BORRADO")</f>
        <v>BORRADO</v>
      </c>
      <c r="E447" s="42" t="str">
        <f>IFERROR(VLOOKUP(9713,Gastos[],5,FALSE),"BORRADO")</f>
        <v>BORRADO</v>
      </c>
      <c r="F447" s="41" t="str">
        <f>IFERROR(VLOOKUP(9713,Gastos[],6,FALSE),"BORRADO")</f>
        <v>BORRADO</v>
      </c>
      <c r="G447" s="40" t="str">
        <f>IFERROR(VLOOKUP(9713,Gastos[],7,FALSE),"BORRADO")</f>
        <v>BORRADO</v>
      </c>
      <c r="H447" s="40" t="str">
        <f>IFERROR(VLOOKUP(9713,Gastos[],8,FALSE),"BORRADO")</f>
        <v>BORRADO</v>
      </c>
      <c r="I447" s="40" t="str">
        <f>IFERROR(VLOOKUP(9713,Gastos[],9,FALSE),"BORRADO")</f>
        <v>BORRADO</v>
      </c>
    </row>
    <row r="448" spans="1:9">
      <c r="A448" s="38" t="s">
        <v>355</v>
      </c>
      <c r="B448" s="39" t="str">
        <f>IFERROR(VLOOKUP(9714,Gastos[],2,FALSE),"BORRADO")</f>
        <v>BORRADO</v>
      </c>
      <c r="C448" s="40" t="str">
        <f>IFERROR(VLOOKUP(9714,Gastos[],3,FALSE),"BORRADO")</f>
        <v>BORRADO</v>
      </c>
      <c r="D448" s="41" t="str">
        <f>IFERROR(VLOOKUP(9714,Gastos[],4,FALSE),"BORRADO")</f>
        <v>BORRADO</v>
      </c>
      <c r="E448" s="42" t="str">
        <f>IFERROR(VLOOKUP(9714,Gastos[],5,FALSE),"BORRADO")</f>
        <v>BORRADO</v>
      </c>
      <c r="F448" s="41" t="str">
        <f>IFERROR(VLOOKUP(9714,Gastos[],6,FALSE),"BORRADO")</f>
        <v>BORRADO</v>
      </c>
      <c r="G448" s="40" t="str">
        <f>IFERROR(VLOOKUP(9714,Gastos[],7,FALSE),"BORRADO")</f>
        <v>BORRADO</v>
      </c>
      <c r="H448" s="40" t="str">
        <f>IFERROR(VLOOKUP(9714,Gastos[],8,FALSE),"BORRADO")</f>
        <v>BORRADO</v>
      </c>
      <c r="I448" s="40" t="str">
        <f>IFERROR(VLOOKUP(9714,Gastos[],9,FALSE),"BORRADO")</f>
        <v>BORRADO</v>
      </c>
    </row>
    <row r="449" spans="1:9">
      <c r="A449" s="38" t="s">
        <v>355</v>
      </c>
      <c r="B449" s="39" t="str">
        <f>IFERROR(VLOOKUP(9715,Gastos[],2,FALSE),"BORRADO")</f>
        <v>BORRADO</v>
      </c>
      <c r="C449" s="40" t="str">
        <f>IFERROR(VLOOKUP(9715,Gastos[],3,FALSE),"BORRADO")</f>
        <v>BORRADO</v>
      </c>
      <c r="D449" s="41" t="str">
        <f>IFERROR(VLOOKUP(9715,Gastos[],4,FALSE),"BORRADO")</f>
        <v>BORRADO</v>
      </c>
      <c r="E449" s="42" t="str">
        <f>IFERROR(VLOOKUP(9715,Gastos[],5,FALSE),"BORRADO")</f>
        <v>BORRADO</v>
      </c>
      <c r="F449" s="41" t="str">
        <f>IFERROR(VLOOKUP(9715,Gastos[],6,FALSE),"BORRADO")</f>
        <v>BORRADO</v>
      </c>
      <c r="G449" s="40" t="str">
        <f>IFERROR(VLOOKUP(9715,Gastos[],7,FALSE),"BORRADO")</f>
        <v>BORRADO</v>
      </c>
      <c r="H449" s="40" t="str">
        <f>IFERROR(VLOOKUP(9715,Gastos[],8,FALSE),"BORRADO")</f>
        <v>BORRADO</v>
      </c>
      <c r="I449" s="40" t="str">
        <f>IFERROR(VLOOKUP(9715,Gastos[],9,FALSE),"BORRADO")</f>
        <v>BORRADO</v>
      </c>
    </row>
    <row r="450" spans="1:9">
      <c r="A450" s="38" t="s">
        <v>355</v>
      </c>
      <c r="B450" s="39" t="str">
        <f>IFERROR(VLOOKUP(9716,Gastos[],2,FALSE),"BORRADO")</f>
        <v>BORRADO</v>
      </c>
      <c r="C450" s="40" t="str">
        <f>IFERROR(VLOOKUP(9716,Gastos[],3,FALSE),"BORRADO")</f>
        <v>BORRADO</v>
      </c>
      <c r="D450" s="41" t="str">
        <f>IFERROR(VLOOKUP(9716,Gastos[],4,FALSE),"BORRADO")</f>
        <v>BORRADO</v>
      </c>
      <c r="E450" s="42" t="str">
        <f>IFERROR(VLOOKUP(9716,Gastos[],5,FALSE),"BORRADO")</f>
        <v>BORRADO</v>
      </c>
      <c r="F450" s="41" t="str">
        <f>IFERROR(VLOOKUP(9716,Gastos[],6,FALSE),"BORRADO")</f>
        <v>BORRADO</v>
      </c>
      <c r="G450" s="40" t="str">
        <f>IFERROR(VLOOKUP(9716,Gastos[],7,FALSE),"BORRADO")</f>
        <v>BORRADO</v>
      </c>
      <c r="H450" s="40" t="str">
        <f>IFERROR(VLOOKUP(9716,Gastos[],8,FALSE),"BORRADO")</f>
        <v>BORRADO</v>
      </c>
      <c r="I450" s="40" t="str">
        <f>IFERROR(VLOOKUP(9716,Gastos[],9,FALSE),"BORRADO")</f>
        <v>BORRADO</v>
      </c>
    </row>
    <row r="451" spans="1:9">
      <c r="A451" s="38" t="s">
        <v>355</v>
      </c>
      <c r="B451" s="39" t="str">
        <f>IFERROR(VLOOKUP(9717,Gastos[],2,FALSE),"BORRADO")</f>
        <v>BORRADO</v>
      </c>
      <c r="C451" s="40" t="str">
        <f>IFERROR(VLOOKUP(9717,Gastos[],3,FALSE),"BORRADO")</f>
        <v>BORRADO</v>
      </c>
      <c r="D451" s="41" t="str">
        <f>IFERROR(VLOOKUP(9717,Gastos[],4,FALSE),"BORRADO")</f>
        <v>BORRADO</v>
      </c>
      <c r="E451" s="42" t="str">
        <f>IFERROR(VLOOKUP(9717,Gastos[],5,FALSE),"BORRADO")</f>
        <v>BORRADO</v>
      </c>
      <c r="F451" s="41" t="str">
        <f>IFERROR(VLOOKUP(9717,Gastos[],6,FALSE),"BORRADO")</f>
        <v>BORRADO</v>
      </c>
      <c r="G451" s="40" t="str">
        <f>IFERROR(VLOOKUP(9717,Gastos[],7,FALSE),"BORRADO")</f>
        <v>BORRADO</v>
      </c>
      <c r="H451" s="40" t="str">
        <f>IFERROR(VLOOKUP(9717,Gastos[],8,FALSE),"BORRADO")</f>
        <v>BORRADO</v>
      </c>
      <c r="I451" s="40" t="str">
        <f>IFERROR(VLOOKUP(9717,Gastos[],9,FALSE),"BORRADO")</f>
        <v>BORRADO</v>
      </c>
    </row>
    <row r="452" spans="1:9">
      <c r="A452" s="38" t="s">
        <v>355</v>
      </c>
      <c r="B452" s="39" t="str">
        <f>IFERROR(VLOOKUP(9718,Gastos[],2,FALSE),"BORRADO")</f>
        <v>BORRADO</v>
      </c>
      <c r="C452" s="40" t="str">
        <f>IFERROR(VLOOKUP(9718,Gastos[],3,FALSE),"BORRADO")</f>
        <v>BORRADO</v>
      </c>
      <c r="D452" s="41" t="str">
        <f>IFERROR(VLOOKUP(9718,Gastos[],4,FALSE),"BORRADO")</f>
        <v>BORRADO</v>
      </c>
      <c r="E452" s="42" t="str">
        <f>IFERROR(VLOOKUP(9718,Gastos[],5,FALSE),"BORRADO")</f>
        <v>BORRADO</v>
      </c>
      <c r="F452" s="41" t="str">
        <f>IFERROR(VLOOKUP(9718,Gastos[],6,FALSE),"BORRADO")</f>
        <v>BORRADO</v>
      </c>
      <c r="G452" s="40" t="str">
        <f>IFERROR(VLOOKUP(9718,Gastos[],7,FALSE),"BORRADO")</f>
        <v>BORRADO</v>
      </c>
      <c r="H452" s="40" t="str">
        <f>IFERROR(VLOOKUP(9718,Gastos[],8,FALSE),"BORRADO")</f>
        <v>BORRADO</v>
      </c>
      <c r="I452" s="40" t="str">
        <f>IFERROR(VLOOKUP(9718,Gastos[],9,FALSE),"BORRADO")</f>
        <v>BORRADO</v>
      </c>
    </row>
    <row r="453" spans="1:9">
      <c r="A453" s="38" t="s">
        <v>354</v>
      </c>
      <c r="B453" s="39">
        <f>IFERROR(VLOOKUP(3200,Depositos[],2,FALSE),"BORRADO")</f>
        <v>43010</v>
      </c>
      <c r="C453" s="40" t="str">
        <f>IFERROR(VLOOKUP(3200,Depositos[],3,FALSE),"BORRADO")</f>
        <v>RR CHEQUE</v>
      </c>
      <c r="D453" s="41">
        <f>IFERROR(VLOOKUP(3200,Depositos[],4,FALSE),"BORRADO")</f>
        <v>3500.16</v>
      </c>
      <c r="E453" s="42">
        <f>IFERROR(VLOOKUP(3200,Depositos[],5,FALSE),"BORRADO")</f>
        <v>43011</v>
      </c>
      <c r="F453" s="41">
        <f ca="1">IFERROR(VLOOKUP(3200,Depositos[],6,FALSE),"BORRADO")</f>
        <v>1420</v>
      </c>
      <c r="G453" s="40" t="str">
        <f>IFERROR(VLOOKUP(3200,Depositos[],7,FALSE),"BORRADO")</f>
        <v>HSBC 54711463</v>
      </c>
      <c r="H453" s="40">
        <f>IFERROR(VLOOKUP(3200,Depositos[],8,FALSE),"BORRADO")</f>
        <v>0</v>
      </c>
      <c r="I453" s="40">
        <f>IFERROR(VLOOKUP(3200,Depositos[],9,FALSE),"BORRADO")</f>
        <v>0</v>
      </c>
    </row>
    <row r="454" spans="1:9">
      <c r="A454" s="38" t="s">
        <v>354</v>
      </c>
      <c r="B454" s="39">
        <f>IFERROR(VLOOKUP(3201,Depositos[],2,FALSE),"BORRADO")</f>
        <v>43010</v>
      </c>
      <c r="C454" s="40" t="str">
        <f>IFERROR(VLOOKUP(3201,Depositos[],3,FALSE),"BORRADO")</f>
        <v>RR CHEQUE</v>
      </c>
      <c r="D454" s="41">
        <f>IFERROR(VLOOKUP(3201,Depositos[],4,FALSE),"BORRADO")</f>
        <v>43940.33</v>
      </c>
      <c r="E454" s="42">
        <f>IFERROR(VLOOKUP(3201,Depositos[],5,FALSE),"BORRADO")</f>
        <v>43011</v>
      </c>
      <c r="F454" s="41">
        <f ca="1">IFERROR(VLOOKUP(3201,Depositos[],6,FALSE),"BORRADO")</f>
        <v>9227</v>
      </c>
      <c r="G454" s="40" t="str">
        <f>IFERROR(VLOOKUP(3201,Depositos[],7,FALSE),"BORRADO")</f>
        <v>MACRO 66493074</v>
      </c>
      <c r="H454" s="40">
        <f>IFERROR(VLOOKUP(3201,Depositos[],8,FALSE),"BORRADO")</f>
        <v>0</v>
      </c>
      <c r="I454" s="40">
        <f>IFERROR(VLOOKUP(3201,Depositos[],9,FALSE),"BORRADO")</f>
        <v>0</v>
      </c>
    </row>
    <row r="455" spans="1:9">
      <c r="A455" s="38" t="s">
        <v>354</v>
      </c>
      <c r="B455" s="39">
        <f>IFERROR(VLOOKUP(3199,Depositos[],2,FALSE),"BORRADO")</f>
        <v>43011</v>
      </c>
      <c r="C455" s="40" t="str">
        <f>IFERROR(VLOOKUP(3199,Depositos[],3,FALSE),"BORRADO")</f>
        <v>EFECTIVO</v>
      </c>
      <c r="D455" s="41">
        <f>IFERROR(VLOOKUP(3199,Depositos[],4,FALSE),"BORRADO")</f>
        <v>100000</v>
      </c>
      <c r="E455" s="42">
        <f>IFERROR(VLOOKUP(3199,Depositos[],5,FALSE),"BORRADO")</f>
        <v>43011</v>
      </c>
      <c r="F455" s="41">
        <f ca="1">IFERROR(VLOOKUP(3199,Depositos[],6,FALSE),"BORRADO")</f>
        <v>39559</v>
      </c>
      <c r="G455" s="40" t="str">
        <f>IFERROR(VLOOKUP(3199,Depositos[],7,FALSE),"BORRADO")</f>
        <v>EFECTIVO SALTA</v>
      </c>
      <c r="H455" s="40">
        <f>IFERROR(VLOOKUP(3199,Depositos[],8,FALSE),"BORRADO")</f>
        <v>0</v>
      </c>
      <c r="I455" s="40">
        <f>IFERROR(VLOOKUP(3199,Depositos[],9,FALSE),"BORRADO")</f>
        <v>0</v>
      </c>
    </row>
    <row r="456" spans="1:9">
      <c r="A456" s="38" t="s">
        <v>355</v>
      </c>
      <c r="B456" s="39" t="str">
        <f>IFERROR(VLOOKUP(9719,Gastos[],2,FALSE),"BORRADO")</f>
        <v>BORRADO</v>
      </c>
      <c r="C456" s="40" t="str">
        <f>IFERROR(VLOOKUP(9719,Gastos[],3,FALSE),"BORRADO")</f>
        <v>BORRADO</v>
      </c>
      <c r="D456" s="41" t="str">
        <f>IFERROR(VLOOKUP(9719,Gastos[],4,FALSE),"BORRADO")</f>
        <v>BORRADO</v>
      </c>
      <c r="E456" s="42" t="str">
        <f>IFERROR(VLOOKUP(9719,Gastos[],5,FALSE),"BORRADO")</f>
        <v>BORRADO</v>
      </c>
      <c r="F456" s="41" t="str">
        <f>IFERROR(VLOOKUP(9719,Gastos[],6,FALSE),"BORRADO")</f>
        <v>BORRADO</v>
      </c>
      <c r="G456" s="40" t="str">
        <f>IFERROR(VLOOKUP(9719,Gastos[],7,FALSE),"BORRADO")</f>
        <v>BORRADO</v>
      </c>
      <c r="H456" s="40" t="str">
        <f>IFERROR(VLOOKUP(9719,Gastos[],8,FALSE),"BORRADO")</f>
        <v>BORRADO</v>
      </c>
      <c r="I456" s="40" t="str">
        <f>IFERROR(VLOOKUP(9719,Gastos[],9,FALSE),"BORRADO")</f>
        <v>BORRADO</v>
      </c>
    </row>
    <row r="457" spans="1:9">
      <c r="A457" s="38" t="s">
        <v>355</v>
      </c>
      <c r="B457" s="39" t="str">
        <f>IFERROR(VLOOKUP(9720,Gastos[],2,FALSE),"BORRADO")</f>
        <v>BORRADO</v>
      </c>
      <c r="C457" s="40" t="str">
        <f>IFERROR(VLOOKUP(9720,Gastos[],3,FALSE),"BORRADO")</f>
        <v>BORRADO</v>
      </c>
      <c r="D457" s="41" t="str">
        <f>IFERROR(VLOOKUP(9720,Gastos[],4,FALSE),"BORRADO")</f>
        <v>BORRADO</v>
      </c>
      <c r="E457" s="42" t="str">
        <f>IFERROR(VLOOKUP(9720,Gastos[],5,FALSE),"BORRADO")</f>
        <v>BORRADO</v>
      </c>
      <c r="F457" s="41" t="str">
        <f>IFERROR(VLOOKUP(9720,Gastos[],6,FALSE),"BORRADO")</f>
        <v>BORRADO</v>
      </c>
      <c r="G457" s="40" t="str">
        <f>IFERROR(VLOOKUP(9720,Gastos[],7,FALSE),"BORRADO")</f>
        <v>BORRADO</v>
      </c>
      <c r="H457" s="40" t="str">
        <f>IFERROR(VLOOKUP(9720,Gastos[],8,FALSE),"BORRADO")</f>
        <v>BORRADO</v>
      </c>
      <c r="I457" s="40" t="str">
        <f>IFERROR(VLOOKUP(9720,Gastos[],9,FALSE),"BORRADO")</f>
        <v>BORRADO</v>
      </c>
    </row>
    <row r="458" spans="1:9">
      <c r="A458" s="38" t="s">
        <v>355</v>
      </c>
      <c r="B458" s="39" t="str">
        <f>IFERROR(VLOOKUP(9721,Gastos[],2,FALSE),"BORRADO")</f>
        <v>BORRADO</v>
      </c>
      <c r="C458" s="40" t="str">
        <f>IFERROR(VLOOKUP(9721,Gastos[],3,FALSE),"BORRADO")</f>
        <v>BORRADO</v>
      </c>
      <c r="D458" s="41" t="str">
        <f>IFERROR(VLOOKUP(9721,Gastos[],4,FALSE),"BORRADO")</f>
        <v>BORRADO</v>
      </c>
      <c r="E458" s="42" t="str">
        <f>IFERROR(VLOOKUP(9721,Gastos[],5,FALSE),"BORRADO")</f>
        <v>BORRADO</v>
      </c>
      <c r="F458" s="41" t="str">
        <f>IFERROR(VLOOKUP(9721,Gastos[],6,FALSE),"BORRADO")</f>
        <v>BORRADO</v>
      </c>
      <c r="G458" s="40" t="str">
        <f>IFERROR(VLOOKUP(9721,Gastos[],7,FALSE),"BORRADO")</f>
        <v>BORRADO</v>
      </c>
      <c r="H458" s="40" t="str">
        <f>IFERROR(VLOOKUP(9721,Gastos[],8,FALSE),"BORRADO")</f>
        <v>BORRADO</v>
      </c>
      <c r="I458" s="40" t="str">
        <f>IFERROR(VLOOKUP(9721,Gastos[],9,FALSE),"BORRADO")</f>
        <v>BORRADO</v>
      </c>
    </row>
    <row r="459" spans="1:9">
      <c r="A459" s="38" t="s">
        <v>355</v>
      </c>
      <c r="B459" s="39" t="str">
        <f>IFERROR(VLOOKUP(9722,Gastos[],2,FALSE),"BORRADO")</f>
        <v>BORRADO</v>
      </c>
      <c r="C459" s="40" t="str">
        <f>IFERROR(VLOOKUP(9722,Gastos[],3,FALSE),"BORRADO")</f>
        <v>BORRADO</v>
      </c>
      <c r="D459" s="41" t="str">
        <f>IFERROR(VLOOKUP(9722,Gastos[],4,FALSE),"BORRADO")</f>
        <v>BORRADO</v>
      </c>
      <c r="E459" s="42" t="str">
        <f>IFERROR(VLOOKUP(9722,Gastos[],5,FALSE),"BORRADO")</f>
        <v>BORRADO</v>
      </c>
      <c r="F459" s="41" t="str">
        <f>IFERROR(VLOOKUP(9722,Gastos[],6,FALSE),"BORRADO")</f>
        <v>BORRADO</v>
      </c>
      <c r="G459" s="40" t="str">
        <f>IFERROR(VLOOKUP(9722,Gastos[],7,FALSE),"BORRADO")</f>
        <v>BORRADO</v>
      </c>
      <c r="H459" s="40" t="str">
        <f>IFERROR(VLOOKUP(9722,Gastos[],8,FALSE),"BORRADO")</f>
        <v>BORRADO</v>
      </c>
      <c r="I459" s="40" t="str">
        <f>IFERROR(VLOOKUP(9722,Gastos[],9,FALSE),"BORRADO")</f>
        <v>BORRADO</v>
      </c>
    </row>
    <row r="460" spans="1:9">
      <c r="A460" s="38" t="s">
        <v>355</v>
      </c>
      <c r="B460" s="39" t="str">
        <f>IFERROR(VLOOKUP(9723,Gastos[],2,FALSE),"BORRADO")</f>
        <v>BORRADO</v>
      </c>
      <c r="C460" s="40" t="str">
        <f>IFERROR(VLOOKUP(9723,Gastos[],3,FALSE),"BORRADO")</f>
        <v>BORRADO</v>
      </c>
      <c r="D460" s="41" t="str">
        <f>IFERROR(VLOOKUP(9723,Gastos[],4,FALSE),"BORRADO")</f>
        <v>BORRADO</v>
      </c>
      <c r="E460" s="42" t="str">
        <f>IFERROR(VLOOKUP(9723,Gastos[],5,FALSE),"BORRADO")</f>
        <v>BORRADO</v>
      </c>
      <c r="F460" s="41" t="str">
        <f>IFERROR(VLOOKUP(9723,Gastos[],6,FALSE),"BORRADO")</f>
        <v>BORRADO</v>
      </c>
      <c r="G460" s="40" t="str">
        <f>IFERROR(VLOOKUP(9723,Gastos[],7,FALSE),"BORRADO")</f>
        <v>BORRADO</v>
      </c>
      <c r="H460" s="40" t="str">
        <f>IFERROR(VLOOKUP(9723,Gastos[],8,FALSE),"BORRADO")</f>
        <v>BORRADO</v>
      </c>
      <c r="I460" s="40" t="str">
        <f>IFERROR(VLOOKUP(9723,Gastos[],9,FALSE),"BORRADO")</f>
        <v>BORRADO</v>
      </c>
    </row>
    <row r="461" spans="1:9">
      <c r="A461" s="38" t="s">
        <v>355</v>
      </c>
      <c r="B461" s="39" t="str">
        <f>IFERROR(VLOOKUP(9724,Gastos[],2,FALSE),"BORRADO")</f>
        <v>BORRADO</v>
      </c>
      <c r="C461" s="40" t="str">
        <f>IFERROR(VLOOKUP(9724,Gastos[],3,FALSE),"BORRADO")</f>
        <v>BORRADO</v>
      </c>
      <c r="D461" s="41" t="str">
        <f>IFERROR(VLOOKUP(9724,Gastos[],4,FALSE),"BORRADO")</f>
        <v>BORRADO</v>
      </c>
      <c r="E461" s="42" t="str">
        <f>IFERROR(VLOOKUP(9724,Gastos[],5,FALSE),"BORRADO")</f>
        <v>BORRADO</v>
      </c>
      <c r="F461" s="41" t="str">
        <f>IFERROR(VLOOKUP(9724,Gastos[],6,FALSE),"BORRADO")</f>
        <v>BORRADO</v>
      </c>
      <c r="G461" s="40" t="str">
        <f>IFERROR(VLOOKUP(9724,Gastos[],7,FALSE),"BORRADO")</f>
        <v>BORRADO</v>
      </c>
      <c r="H461" s="40" t="str">
        <f>IFERROR(VLOOKUP(9724,Gastos[],8,FALSE),"BORRADO")</f>
        <v>BORRADO</v>
      </c>
      <c r="I461" s="40" t="str">
        <f>IFERROR(VLOOKUP(9724,Gastos[],9,FALSE),"BORRADO")</f>
        <v>BORRADO</v>
      </c>
    </row>
    <row r="462" spans="1:9">
      <c r="A462" s="38" t="s">
        <v>355</v>
      </c>
      <c r="B462" s="39" t="str">
        <f>IFERROR(VLOOKUP(9725,Gastos[],2,FALSE),"BORRADO")</f>
        <v>BORRADO</v>
      </c>
      <c r="C462" s="40" t="str">
        <f>IFERROR(VLOOKUP(9725,Gastos[],3,FALSE),"BORRADO")</f>
        <v>BORRADO</v>
      </c>
      <c r="D462" s="41" t="str">
        <f>IFERROR(VLOOKUP(9725,Gastos[],4,FALSE),"BORRADO")</f>
        <v>BORRADO</v>
      </c>
      <c r="E462" s="42" t="str">
        <f>IFERROR(VLOOKUP(9725,Gastos[],5,FALSE),"BORRADO")</f>
        <v>BORRADO</v>
      </c>
      <c r="F462" s="41" t="str">
        <f>IFERROR(VLOOKUP(9725,Gastos[],6,FALSE),"BORRADO")</f>
        <v>BORRADO</v>
      </c>
      <c r="G462" s="40" t="str">
        <f>IFERROR(VLOOKUP(9725,Gastos[],7,FALSE),"BORRADO")</f>
        <v>BORRADO</v>
      </c>
      <c r="H462" s="40" t="str">
        <f>IFERROR(VLOOKUP(9725,Gastos[],8,FALSE),"BORRADO")</f>
        <v>BORRADO</v>
      </c>
      <c r="I462" s="40" t="str">
        <f>IFERROR(VLOOKUP(9725,Gastos[],9,FALSE),"BORRADO")</f>
        <v>BORRADO</v>
      </c>
    </row>
    <row r="463" spans="1:9">
      <c r="A463" s="38" t="s">
        <v>355</v>
      </c>
      <c r="B463" s="39" t="str">
        <f>IFERROR(VLOOKUP(9726,Gastos[],2,FALSE),"BORRADO")</f>
        <v>BORRADO</v>
      </c>
      <c r="C463" s="40" t="str">
        <f>IFERROR(VLOOKUP(9726,Gastos[],3,FALSE),"BORRADO")</f>
        <v>BORRADO</v>
      </c>
      <c r="D463" s="41" t="str">
        <f>IFERROR(VLOOKUP(9726,Gastos[],4,FALSE),"BORRADO")</f>
        <v>BORRADO</v>
      </c>
      <c r="E463" s="42" t="str">
        <f>IFERROR(VLOOKUP(9726,Gastos[],5,FALSE),"BORRADO")</f>
        <v>BORRADO</v>
      </c>
      <c r="F463" s="41" t="str">
        <f>IFERROR(VLOOKUP(9726,Gastos[],6,FALSE),"BORRADO")</f>
        <v>BORRADO</v>
      </c>
      <c r="G463" s="40" t="str">
        <f>IFERROR(VLOOKUP(9726,Gastos[],7,FALSE),"BORRADO")</f>
        <v>BORRADO</v>
      </c>
      <c r="H463" s="40" t="str">
        <f>IFERROR(VLOOKUP(9726,Gastos[],8,FALSE),"BORRADO")</f>
        <v>BORRADO</v>
      </c>
      <c r="I463" s="40" t="str">
        <f>IFERROR(VLOOKUP(9726,Gastos[],9,FALSE),"BORRADO")</f>
        <v>BORRADO</v>
      </c>
    </row>
    <row r="464" spans="1:9">
      <c r="A464" s="38" t="s">
        <v>354</v>
      </c>
      <c r="B464" s="39">
        <f>IFERROR(VLOOKUP(3203,Depositos[],2,FALSE),"BORRADO")</f>
        <v>43011</v>
      </c>
      <c r="C464" s="40" t="str">
        <f>IFERROR(VLOOKUP(3203,Depositos[],3,FALSE),"BORRADO")</f>
        <v>RR CHEQUE</v>
      </c>
      <c r="D464" s="41">
        <f>IFERROR(VLOOKUP(3203,Depositos[],4,FALSE),"BORRADO")</f>
        <v>229794.55</v>
      </c>
      <c r="E464" s="42">
        <f>IFERROR(VLOOKUP(3203,Depositos[],5,FALSE),"BORRADO")</f>
        <v>43012</v>
      </c>
      <c r="F464" s="41">
        <f ca="1">IFERROR(VLOOKUP(3203,Depositos[],6,FALSE),"BORRADO")</f>
        <v>104624</v>
      </c>
      <c r="G464" s="40" t="str">
        <f>IFERROR(VLOOKUP(3203,Depositos[],7,FALSE),"BORRADO")</f>
        <v>MACRO 51681560</v>
      </c>
      <c r="H464" s="40">
        <f>IFERROR(VLOOKUP(3203,Depositos[],8,FALSE),"BORRADO")</f>
        <v>0</v>
      </c>
      <c r="I464" s="40">
        <f>IFERROR(VLOOKUP(3203,Depositos[],9,FALSE),"BORRADO")</f>
        <v>0</v>
      </c>
    </row>
    <row r="465" spans="1:9">
      <c r="A465" s="38" t="s">
        <v>353</v>
      </c>
      <c r="B465" s="39">
        <f>IFERROR(VLOOKUP(2151,Chequeras[],2,FALSE),"BORRADO")</f>
        <v>43011</v>
      </c>
      <c r="C465" s="40" t="str">
        <f>IFERROR(VLOOKUP(2151,Chequeras[],3,FALSE),"BORRADO")</f>
        <v>01670217</v>
      </c>
      <c r="D465" s="41">
        <f>IFERROR(VLOOKUP(2151,Chequeras[],4,FALSE),"BORRADO")</f>
        <v>-15800</v>
      </c>
      <c r="E465" s="42">
        <f>IFERROR(VLOOKUP(2151,Chequeras[],5,FALSE),"BORRADO")</f>
        <v>43013</v>
      </c>
      <c r="F465" s="41">
        <f ca="1">IFERROR(VLOOKUP(2151,Chequeras[],6,FALSE),"BORRADO")</f>
        <v>10951</v>
      </c>
      <c r="G465" s="40" t="str">
        <f>IFERROR(VLOOKUP(2151,Chequeras[],7,FALSE),"BORRADO")</f>
        <v>Claudio Gestor</v>
      </c>
      <c r="H465" s="40" t="str">
        <f>IFERROR(VLOOKUP(2151,Chequeras[],8,FALSE),"BORRADO")</f>
        <v>lh</v>
      </c>
      <c r="I465" s="40">
        <f>IFERROR(VLOOKUP(2151,Chequeras[],9,FALSE),"BORRADO")</f>
        <v>94</v>
      </c>
    </row>
    <row r="466" spans="1:9">
      <c r="A466" s="38" t="s">
        <v>353</v>
      </c>
      <c r="B466" s="39">
        <f>IFERROR(VLOOKUP(2152,Chequeras[],2,FALSE),"BORRADO")</f>
        <v>43011</v>
      </c>
      <c r="C466" s="40" t="str">
        <f>IFERROR(VLOOKUP(2152,Chequeras[],3,FALSE),"BORRADO")</f>
        <v>01670218</v>
      </c>
      <c r="D466" s="41">
        <f>IFERROR(VLOOKUP(2152,Chequeras[],4,FALSE),"BORRADO")</f>
        <v>-8000</v>
      </c>
      <c r="E466" s="42">
        <f>IFERROR(VLOOKUP(2152,Chequeras[],5,FALSE),"BORRADO")</f>
        <v>43014</v>
      </c>
      <c r="F466" s="41">
        <f ca="1">IFERROR(VLOOKUP(2152,Chequeras[],6,FALSE),"BORRADO")</f>
        <v>3686</v>
      </c>
      <c r="G466" s="40" t="str">
        <f>IFERROR(VLOOKUP(2152,Chequeras[],7,FALSE),"BORRADO")</f>
        <v>Pipi 03/08/2017</v>
      </c>
      <c r="H466" s="40" t="str">
        <f>IFERROR(VLOOKUP(2152,Chequeras[],8,FALSE),"BORRADO")</f>
        <v>lh</v>
      </c>
      <c r="I466" s="40">
        <f>IFERROR(VLOOKUP(2152,Chequeras[],9,FALSE),"BORRADO")</f>
        <v>94</v>
      </c>
    </row>
    <row r="467" spans="1:9">
      <c r="A467" s="38" t="s">
        <v>355</v>
      </c>
      <c r="B467" s="39" t="str">
        <f>IFERROR(VLOOKUP(9727,Gastos[],2,FALSE),"BORRADO")</f>
        <v>BORRADO</v>
      </c>
      <c r="C467" s="40" t="str">
        <f>IFERROR(VLOOKUP(9727,Gastos[],3,FALSE),"BORRADO")</f>
        <v>BORRADO</v>
      </c>
      <c r="D467" s="41" t="str">
        <f>IFERROR(VLOOKUP(9727,Gastos[],4,FALSE),"BORRADO")</f>
        <v>BORRADO</v>
      </c>
      <c r="E467" s="42" t="str">
        <f>IFERROR(VLOOKUP(9727,Gastos[],5,FALSE),"BORRADO")</f>
        <v>BORRADO</v>
      </c>
      <c r="F467" s="41" t="str">
        <f>IFERROR(VLOOKUP(9727,Gastos[],6,FALSE),"BORRADO")</f>
        <v>BORRADO</v>
      </c>
      <c r="G467" s="40" t="str">
        <f>IFERROR(VLOOKUP(9727,Gastos[],7,FALSE),"BORRADO")</f>
        <v>BORRADO</v>
      </c>
      <c r="H467" s="40" t="str">
        <f>IFERROR(VLOOKUP(9727,Gastos[],8,FALSE),"BORRADO")</f>
        <v>BORRADO</v>
      </c>
      <c r="I467" s="40" t="str">
        <f>IFERROR(VLOOKUP(9727,Gastos[],9,FALSE),"BORRADO")</f>
        <v>BORRADO</v>
      </c>
    </row>
    <row r="468" spans="1:9">
      <c r="A468" s="38" t="s">
        <v>355</v>
      </c>
      <c r="B468" s="39" t="str">
        <f>IFERROR(VLOOKUP(9728,Gastos[],2,FALSE),"BORRADO")</f>
        <v>BORRADO</v>
      </c>
      <c r="C468" s="40" t="str">
        <f>IFERROR(VLOOKUP(9728,Gastos[],3,FALSE),"BORRADO")</f>
        <v>BORRADO</v>
      </c>
      <c r="D468" s="41" t="str">
        <f>IFERROR(VLOOKUP(9728,Gastos[],4,FALSE),"BORRADO")</f>
        <v>BORRADO</v>
      </c>
      <c r="E468" s="42" t="str">
        <f>IFERROR(VLOOKUP(9728,Gastos[],5,FALSE),"BORRADO")</f>
        <v>BORRADO</v>
      </c>
      <c r="F468" s="41" t="str">
        <f>IFERROR(VLOOKUP(9728,Gastos[],6,FALSE),"BORRADO")</f>
        <v>BORRADO</v>
      </c>
      <c r="G468" s="40" t="str">
        <f>IFERROR(VLOOKUP(9728,Gastos[],7,FALSE),"BORRADO")</f>
        <v>BORRADO</v>
      </c>
      <c r="H468" s="40" t="str">
        <f>IFERROR(VLOOKUP(9728,Gastos[],8,FALSE),"BORRADO")</f>
        <v>BORRADO</v>
      </c>
      <c r="I468" s="40" t="str">
        <f>IFERROR(VLOOKUP(9728,Gastos[],9,FALSE),"BORRADO")</f>
        <v>BORRADO</v>
      </c>
    </row>
    <row r="469" spans="1:9">
      <c r="A469" s="38" t="s">
        <v>355</v>
      </c>
      <c r="B469" s="39" t="str">
        <f>IFERROR(VLOOKUP(9729,Gastos[],2,FALSE),"BORRADO")</f>
        <v>BORRADO</v>
      </c>
      <c r="C469" s="40" t="str">
        <f>IFERROR(VLOOKUP(9729,Gastos[],3,FALSE),"BORRADO")</f>
        <v>BORRADO</v>
      </c>
      <c r="D469" s="41" t="str">
        <f>IFERROR(VLOOKUP(9729,Gastos[],4,FALSE),"BORRADO")</f>
        <v>BORRADO</v>
      </c>
      <c r="E469" s="42" t="str">
        <f>IFERROR(VLOOKUP(9729,Gastos[],5,FALSE),"BORRADO")</f>
        <v>BORRADO</v>
      </c>
      <c r="F469" s="41" t="str">
        <f>IFERROR(VLOOKUP(9729,Gastos[],6,FALSE),"BORRADO")</f>
        <v>BORRADO</v>
      </c>
      <c r="G469" s="40" t="str">
        <f>IFERROR(VLOOKUP(9729,Gastos[],7,FALSE),"BORRADO")</f>
        <v>BORRADO</v>
      </c>
      <c r="H469" s="40" t="str">
        <f>IFERROR(VLOOKUP(9729,Gastos[],8,FALSE),"BORRADO")</f>
        <v>BORRADO</v>
      </c>
      <c r="I469" s="40" t="str">
        <f>IFERROR(VLOOKUP(9729,Gastos[],9,FALSE),"BORRADO")</f>
        <v>BORRADO</v>
      </c>
    </row>
    <row r="470" spans="1:9">
      <c r="A470" s="38" t="s">
        <v>354</v>
      </c>
      <c r="B470" s="39">
        <f>IFERROR(VLOOKUP(3204,Depositos[],2,FALSE),"BORRADO")</f>
        <v>43012</v>
      </c>
      <c r="C470" s="40" t="str">
        <f>IFERROR(VLOOKUP(3204,Depositos[],3,FALSE),"BORRADO")</f>
        <v>RR CHEQUE</v>
      </c>
      <c r="D470" s="41">
        <f>IFERROR(VLOOKUP(3204,Depositos[],4,FALSE),"BORRADO")</f>
        <v>42918.48</v>
      </c>
      <c r="E470" s="42">
        <f>IFERROR(VLOOKUP(3204,Depositos[],5,FALSE),"BORRADO")</f>
        <v>43013</v>
      </c>
      <c r="F470" s="41">
        <f ca="1">IFERROR(VLOOKUP(3204,Depositos[],6,FALSE),"BORRADO")</f>
        <v>25670</v>
      </c>
      <c r="G470" s="40" t="str">
        <f>IFERROR(VLOOKUP(3204,Depositos[],7,FALSE),"BORRADO")</f>
        <v>INDUSTRIAL 12756861</v>
      </c>
      <c r="H470" s="40">
        <f>IFERROR(VLOOKUP(3204,Depositos[],8,FALSE),"BORRADO")</f>
        <v>0</v>
      </c>
      <c r="I470" s="40">
        <f>IFERROR(VLOOKUP(3204,Depositos[],9,FALSE),"BORRADO")</f>
        <v>0</v>
      </c>
    </row>
    <row r="471" spans="1:9">
      <c r="A471" s="38" t="s">
        <v>354</v>
      </c>
      <c r="B471" s="39">
        <f>IFERROR(VLOOKUP(3205,Depositos[],2,FALSE),"BORRADO")</f>
        <v>43012</v>
      </c>
      <c r="C471" s="40" t="str">
        <f>IFERROR(VLOOKUP(3205,Depositos[],3,FALSE),"BORRADO")</f>
        <v>RR CHEQUE</v>
      </c>
      <c r="D471" s="41">
        <f>IFERROR(VLOOKUP(3205,Depositos[],4,FALSE),"BORRADO")</f>
        <v>48964.45</v>
      </c>
      <c r="E471" s="42">
        <f>IFERROR(VLOOKUP(3205,Depositos[],5,FALSE),"BORRADO")</f>
        <v>43013</v>
      </c>
      <c r="F471" s="41">
        <f ca="1">IFERROR(VLOOKUP(3205,Depositos[],6,FALSE),"BORRADO")</f>
        <v>6973</v>
      </c>
      <c r="G471" s="40" t="str">
        <f>IFERROR(VLOOKUP(3205,Depositos[],7,FALSE),"BORRADO")</f>
        <v>INDUSTRIAL 13218026</v>
      </c>
      <c r="H471" s="40">
        <f>IFERROR(VLOOKUP(3205,Depositos[],8,FALSE),"BORRADO")</f>
        <v>0</v>
      </c>
      <c r="I471" s="40">
        <f>IFERROR(VLOOKUP(3205,Depositos[],9,FALSE),"BORRADO")</f>
        <v>0</v>
      </c>
    </row>
    <row r="472" spans="1:9">
      <c r="A472" s="38" t="s">
        <v>353</v>
      </c>
      <c r="B472" s="39">
        <f>IFERROR(VLOOKUP(2153,Chequeras[],2,FALSE),"BORRADO")</f>
        <v>43013</v>
      </c>
      <c r="C472" s="40" t="str">
        <f>IFERROR(VLOOKUP(2153,Chequeras[],3,FALSE),"BORRADO")</f>
        <v>01670219</v>
      </c>
      <c r="D472" s="41">
        <f>IFERROR(VLOOKUP(2153,Chequeras[],4,FALSE),"BORRADO")</f>
        <v>-3800</v>
      </c>
      <c r="E472" s="42">
        <f>IFERROR(VLOOKUP(2153,Chequeras[],5,FALSE),"BORRADO")</f>
        <v>43013</v>
      </c>
      <c r="F472" s="41">
        <f ca="1">IFERROR(VLOOKUP(2153,Chequeras[],6,FALSE),"BORRADO")</f>
        <v>3044</v>
      </c>
      <c r="G472" s="40" t="str">
        <f>IFERROR(VLOOKUP(2153,Chequeras[],7,FALSE),"BORRADO")</f>
        <v>Alquiler Ledesma</v>
      </c>
      <c r="H472" s="40" t="str">
        <f>IFERROR(VLOOKUP(2153,Chequeras[],8,FALSE),"BORRADO")</f>
        <v>lh</v>
      </c>
      <c r="I472" s="40">
        <f>IFERROR(VLOOKUP(2153,Chequeras[],9,FALSE),"BORRADO")</f>
        <v>94</v>
      </c>
    </row>
    <row r="473" spans="1:9">
      <c r="A473" s="38" t="s">
        <v>354</v>
      </c>
      <c r="B473" s="39">
        <f>IFERROR(VLOOKUP(3209,Depositos[],2,FALSE),"BORRADO")</f>
        <v>43013</v>
      </c>
      <c r="C473" s="40" t="str">
        <f>IFERROR(VLOOKUP(3209,Depositos[],3,FALSE),"BORRADO")</f>
        <v>CREDITO</v>
      </c>
      <c r="D473" s="41">
        <f>IFERROR(VLOOKUP(3209,Depositos[],4,FALSE),"BORRADO")</f>
        <v>25180</v>
      </c>
      <c r="E473" s="42">
        <f>IFERROR(VLOOKUP(3209,Depositos[],5,FALSE),"BORRADO")</f>
        <v>43013</v>
      </c>
      <c r="F473" s="41">
        <f ca="1">IFERROR(VLOOKUP(3209,Depositos[],6,FALSE),"BORRADO")</f>
        <v>22265</v>
      </c>
      <c r="G473" s="40" t="str">
        <f>IFERROR(VLOOKUP(3209,Depositos[],7,FALSE),"BORRADO")</f>
        <v>GOB.DE LA PROVINCIA</v>
      </c>
      <c r="H473" s="40">
        <f>IFERROR(VLOOKUP(3209,Depositos[],8,FALSE),"BORRADO")</f>
        <v>0</v>
      </c>
      <c r="I473" s="40">
        <f>IFERROR(VLOOKUP(3209,Depositos[],9,FALSE),"BORRADO")</f>
        <v>0</v>
      </c>
    </row>
    <row r="474" spans="1:9">
      <c r="A474" s="38" t="s">
        <v>355</v>
      </c>
      <c r="B474" s="39" t="str">
        <f>IFERROR(VLOOKUP(9730,Gastos[],2,FALSE),"BORRADO")</f>
        <v>BORRADO</v>
      </c>
      <c r="C474" s="40" t="str">
        <f>IFERROR(VLOOKUP(9730,Gastos[],3,FALSE),"BORRADO")</f>
        <v>BORRADO</v>
      </c>
      <c r="D474" s="41" t="str">
        <f>IFERROR(VLOOKUP(9730,Gastos[],4,FALSE),"BORRADO")</f>
        <v>BORRADO</v>
      </c>
      <c r="E474" s="42" t="str">
        <f>IFERROR(VLOOKUP(9730,Gastos[],5,FALSE),"BORRADO")</f>
        <v>BORRADO</v>
      </c>
      <c r="F474" s="41" t="str">
        <f>IFERROR(VLOOKUP(9730,Gastos[],6,FALSE),"BORRADO")</f>
        <v>BORRADO</v>
      </c>
      <c r="G474" s="40" t="str">
        <f>IFERROR(VLOOKUP(9730,Gastos[],7,FALSE),"BORRADO")</f>
        <v>BORRADO</v>
      </c>
      <c r="H474" s="40" t="str">
        <f>IFERROR(VLOOKUP(9730,Gastos[],8,FALSE),"BORRADO")</f>
        <v>BORRADO</v>
      </c>
      <c r="I474" s="40" t="str">
        <f>IFERROR(VLOOKUP(9730,Gastos[],9,FALSE),"BORRADO")</f>
        <v>BORRADO</v>
      </c>
    </row>
    <row r="475" spans="1:9">
      <c r="A475" s="38" t="s">
        <v>355</v>
      </c>
      <c r="B475" s="39" t="str">
        <f>IFERROR(VLOOKUP(9731,Gastos[],2,FALSE),"BORRADO")</f>
        <v>BORRADO</v>
      </c>
      <c r="C475" s="40" t="str">
        <f>IFERROR(VLOOKUP(9731,Gastos[],3,FALSE),"BORRADO")</f>
        <v>BORRADO</v>
      </c>
      <c r="D475" s="41" t="str">
        <f>IFERROR(VLOOKUP(9731,Gastos[],4,FALSE),"BORRADO")</f>
        <v>BORRADO</v>
      </c>
      <c r="E475" s="42" t="str">
        <f>IFERROR(VLOOKUP(9731,Gastos[],5,FALSE),"BORRADO")</f>
        <v>BORRADO</v>
      </c>
      <c r="F475" s="41" t="str">
        <f>IFERROR(VLOOKUP(9731,Gastos[],6,FALSE),"BORRADO")</f>
        <v>BORRADO</v>
      </c>
      <c r="G475" s="40" t="str">
        <f>IFERROR(VLOOKUP(9731,Gastos[],7,FALSE),"BORRADO")</f>
        <v>BORRADO</v>
      </c>
      <c r="H475" s="40" t="str">
        <f>IFERROR(VLOOKUP(9731,Gastos[],8,FALSE),"BORRADO")</f>
        <v>BORRADO</v>
      </c>
      <c r="I475" s="40" t="str">
        <f>IFERROR(VLOOKUP(9731,Gastos[],9,FALSE),"BORRADO")</f>
        <v>BORRADO</v>
      </c>
    </row>
    <row r="476" spans="1:9">
      <c r="A476" s="38" t="s">
        <v>355</v>
      </c>
      <c r="B476" s="39" t="str">
        <f>IFERROR(VLOOKUP(9732,Gastos[],2,FALSE),"BORRADO")</f>
        <v>BORRADO</v>
      </c>
      <c r="C476" s="40" t="str">
        <f>IFERROR(VLOOKUP(9732,Gastos[],3,FALSE),"BORRADO")</f>
        <v>BORRADO</v>
      </c>
      <c r="D476" s="41" t="str">
        <f>IFERROR(VLOOKUP(9732,Gastos[],4,FALSE),"BORRADO")</f>
        <v>BORRADO</v>
      </c>
      <c r="E476" s="42" t="str">
        <f>IFERROR(VLOOKUP(9732,Gastos[],5,FALSE),"BORRADO")</f>
        <v>BORRADO</v>
      </c>
      <c r="F476" s="41" t="str">
        <f>IFERROR(VLOOKUP(9732,Gastos[],6,FALSE),"BORRADO")</f>
        <v>BORRADO</v>
      </c>
      <c r="G476" s="40" t="str">
        <f>IFERROR(VLOOKUP(9732,Gastos[],7,FALSE),"BORRADO")</f>
        <v>BORRADO</v>
      </c>
      <c r="H476" s="40" t="str">
        <f>IFERROR(VLOOKUP(9732,Gastos[],8,FALSE),"BORRADO")</f>
        <v>BORRADO</v>
      </c>
      <c r="I476" s="40" t="str">
        <f>IFERROR(VLOOKUP(9732,Gastos[],9,FALSE),"BORRADO")</f>
        <v>BORRADO</v>
      </c>
    </row>
    <row r="477" spans="1:9">
      <c r="A477" s="38" t="s">
        <v>355</v>
      </c>
      <c r="B477" s="39" t="str">
        <f>IFERROR(VLOOKUP(9733,Gastos[],2,FALSE),"BORRADO")</f>
        <v>BORRADO</v>
      </c>
      <c r="C477" s="40" t="str">
        <f>IFERROR(VLOOKUP(9733,Gastos[],3,FALSE),"BORRADO")</f>
        <v>BORRADO</v>
      </c>
      <c r="D477" s="41" t="str">
        <f>IFERROR(VLOOKUP(9733,Gastos[],4,FALSE),"BORRADO")</f>
        <v>BORRADO</v>
      </c>
      <c r="E477" s="42" t="str">
        <f>IFERROR(VLOOKUP(9733,Gastos[],5,FALSE),"BORRADO")</f>
        <v>BORRADO</v>
      </c>
      <c r="F477" s="41" t="str">
        <f>IFERROR(VLOOKUP(9733,Gastos[],6,FALSE),"BORRADO")</f>
        <v>BORRADO</v>
      </c>
      <c r="G477" s="40" t="str">
        <f>IFERROR(VLOOKUP(9733,Gastos[],7,FALSE),"BORRADO")</f>
        <v>BORRADO</v>
      </c>
      <c r="H477" s="40" t="str">
        <f>IFERROR(VLOOKUP(9733,Gastos[],8,FALSE),"BORRADO")</f>
        <v>BORRADO</v>
      </c>
      <c r="I477" s="40" t="str">
        <f>IFERROR(VLOOKUP(9733,Gastos[],9,FALSE),"BORRADO")</f>
        <v>BORRADO</v>
      </c>
    </row>
    <row r="478" spans="1:9">
      <c r="A478" s="38" t="s">
        <v>355</v>
      </c>
      <c r="B478" s="39" t="str">
        <f>IFERROR(VLOOKUP(9734,Gastos[],2,FALSE),"BORRADO")</f>
        <v>BORRADO</v>
      </c>
      <c r="C478" s="40" t="str">
        <f>IFERROR(VLOOKUP(9734,Gastos[],3,FALSE),"BORRADO")</f>
        <v>BORRADO</v>
      </c>
      <c r="D478" s="41" t="str">
        <f>IFERROR(VLOOKUP(9734,Gastos[],4,FALSE),"BORRADO")</f>
        <v>BORRADO</v>
      </c>
      <c r="E478" s="42" t="str">
        <f>IFERROR(VLOOKUP(9734,Gastos[],5,FALSE),"BORRADO")</f>
        <v>BORRADO</v>
      </c>
      <c r="F478" s="41" t="str">
        <f>IFERROR(VLOOKUP(9734,Gastos[],6,FALSE),"BORRADO")</f>
        <v>BORRADO</v>
      </c>
      <c r="G478" s="40" t="str">
        <f>IFERROR(VLOOKUP(9734,Gastos[],7,FALSE),"BORRADO")</f>
        <v>BORRADO</v>
      </c>
      <c r="H478" s="40" t="str">
        <f>IFERROR(VLOOKUP(9734,Gastos[],8,FALSE),"BORRADO")</f>
        <v>BORRADO</v>
      </c>
      <c r="I478" s="40" t="str">
        <f>IFERROR(VLOOKUP(9734,Gastos[],9,FALSE),"BORRADO")</f>
        <v>BORRADO</v>
      </c>
    </row>
    <row r="479" spans="1:9">
      <c r="A479" s="38" t="s">
        <v>355</v>
      </c>
      <c r="B479" s="39" t="str">
        <f>IFERROR(VLOOKUP(9735,Gastos[],2,FALSE),"BORRADO")</f>
        <v>BORRADO</v>
      </c>
      <c r="C479" s="40" t="str">
        <f>IFERROR(VLOOKUP(9735,Gastos[],3,FALSE),"BORRADO")</f>
        <v>BORRADO</v>
      </c>
      <c r="D479" s="41" t="str">
        <f>IFERROR(VLOOKUP(9735,Gastos[],4,FALSE),"BORRADO")</f>
        <v>BORRADO</v>
      </c>
      <c r="E479" s="42" t="str">
        <f>IFERROR(VLOOKUP(9735,Gastos[],5,FALSE),"BORRADO")</f>
        <v>BORRADO</v>
      </c>
      <c r="F479" s="41" t="str">
        <f>IFERROR(VLOOKUP(9735,Gastos[],6,FALSE),"BORRADO")</f>
        <v>BORRADO</v>
      </c>
      <c r="G479" s="40" t="str">
        <f>IFERROR(VLOOKUP(9735,Gastos[],7,FALSE),"BORRADO")</f>
        <v>BORRADO</v>
      </c>
      <c r="H479" s="40" t="str">
        <f>IFERROR(VLOOKUP(9735,Gastos[],8,FALSE),"BORRADO")</f>
        <v>BORRADO</v>
      </c>
      <c r="I479" s="40" t="str">
        <f>IFERROR(VLOOKUP(9735,Gastos[],9,FALSE),"BORRADO")</f>
        <v>BORRADO</v>
      </c>
    </row>
    <row r="480" spans="1:9">
      <c r="A480" s="38" t="s">
        <v>355</v>
      </c>
      <c r="B480" s="39" t="str">
        <f>IFERROR(VLOOKUP(9736,Gastos[],2,FALSE),"BORRADO")</f>
        <v>BORRADO</v>
      </c>
      <c r="C480" s="40" t="str">
        <f>IFERROR(VLOOKUP(9736,Gastos[],3,FALSE),"BORRADO")</f>
        <v>BORRADO</v>
      </c>
      <c r="D480" s="41" t="str">
        <f>IFERROR(VLOOKUP(9736,Gastos[],4,FALSE),"BORRADO")</f>
        <v>BORRADO</v>
      </c>
      <c r="E480" s="42" t="str">
        <f>IFERROR(VLOOKUP(9736,Gastos[],5,FALSE),"BORRADO")</f>
        <v>BORRADO</v>
      </c>
      <c r="F480" s="41" t="str">
        <f>IFERROR(VLOOKUP(9736,Gastos[],6,FALSE),"BORRADO")</f>
        <v>BORRADO</v>
      </c>
      <c r="G480" s="40" t="str">
        <f>IFERROR(VLOOKUP(9736,Gastos[],7,FALSE),"BORRADO")</f>
        <v>BORRADO</v>
      </c>
      <c r="H480" s="40" t="str">
        <f>IFERROR(VLOOKUP(9736,Gastos[],8,FALSE),"BORRADO")</f>
        <v>BORRADO</v>
      </c>
      <c r="I480" s="40" t="str">
        <f>IFERROR(VLOOKUP(9736,Gastos[],9,FALSE),"BORRADO")</f>
        <v>BORRADO</v>
      </c>
    </row>
    <row r="481" spans="1:9">
      <c r="A481" s="38" t="s">
        <v>354</v>
      </c>
      <c r="B481" s="39">
        <f>IFERROR(VLOOKUP(3206,Depositos[],2,FALSE),"BORRADO")</f>
        <v>43013</v>
      </c>
      <c r="C481" s="40" t="str">
        <f>IFERROR(VLOOKUP(3206,Depositos[],3,FALSE),"BORRADO")</f>
        <v>RR CHEQUE</v>
      </c>
      <c r="D481" s="41">
        <f>IFERROR(VLOOKUP(3206,Depositos[],4,FALSE),"BORRADO")</f>
        <v>10000</v>
      </c>
      <c r="E481" s="42">
        <f>IFERROR(VLOOKUP(3206,Depositos[],5,FALSE),"BORRADO")</f>
        <v>43014</v>
      </c>
      <c r="F481" s="41">
        <f ca="1">IFERROR(VLOOKUP(3206,Depositos[],6,FALSE),"BORRADO")</f>
        <v>1050</v>
      </c>
      <c r="G481" s="40" t="str">
        <f>IFERROR(VLOOKUP(3206,Depositos[],7,FALSE),"BORRADO")</f>
        <v>MACRO 74950858</v>
      </c>
      <c r="H481" s="40">
        <f>IFERROR(VLOOKUP(3206,Depositos[],8,FALSE),"BORRADO")</f>
        <v>0</v>
      </c>
      <c r="I481" s="40">
        <f>IFERROR(VLOOKUP(3206,Depositos[],9,FALSE),"BORRADO")</f>
        <v>0</v>
      </c>
    </row>
    <row r="482" spans="1:9">
      <c r="A482" s="38" t="s">
        <v>354</v>
      </c>
      <c r="B482" s="39">
        <f>IFERROR(VLOOKUP(3207,Depositos[],2,FALSE),"BORRADO")</f>
        <v>43013</v>
      </c>
      <c r="C482" s="40" t="str">
        <f>IFERROR(VLOOKUP(3207,Depositos[],3,FALSE),"BORRADO")</f>
        <v>RR CHEQUE</v>
      </c>
      <c r="D482" s="41">
        <f>IFERROR(VLOOKUP(3207,Depositos[],4,FALSE),"BORRADO")</f>
        <v>4851.53</v>
      </c>
      <c r="E482" s="42">
        <f>IFERROR(VLOOKUP(3207,Depositos[],5,FALSE),"BORRADO")</f>
        <v>43014</v>
      </c>
      <c r="F482" s="41">
        <f ca="1">IFERROR(VLOOKUP(3207,Depositos[],6,FALSE),"BORRADO")</f>
        <v>154</v>
      </c>
      <c r="G482" s="40" t="str">
        <f>IFERROR(VLOOKUP(3207,Depositos[],7,FALSE),"BORRADO")</f>
        <v>INDUSTRIAL 13218027 M.SEGURA/R.E.RIVAROLA</v>
      </c>
      <c r="H482" s="40">
        <f>IFERROR(VLOOKUP(3207,Depositos[],8,FALSE),"BORRADO")</f>
        <v>0</v>
      </c>
      <c r="I482" s="40">
        <f>IFERROR(VLOOKUP(3207,Depositos[],9,FALSE),"BORRADO")</f>
        <v>0</v>
      </c>
    </row>
    <row r="483" spans="1:9">
      <c r="A483" s="38" t="s">
        <v>354</v>
      </c>
      <c r="B483" s="39">
        <f>IFERROR(VLOOKUP(3208,Depositos[],2,FALSE),"BORRADO")</f>
        <v>43013</v>
      </c>
      <c r="C483" s="40" t="str">
        <f>IFERROR(VLOOKUP(3208,Depositos[],3,FALSE),"BORRADO")</f>
        <v>RR CHEQUE</v>
      </c>
      <c r="D483" s="41">
        <f>IFERROR(VLOOKUP(3208,Depositos[],4,FALSE),"BORRADO")</f>
        <v>285600</v>
      </c>
      <c r="E483" s="42">
        <f>IFERROR(VLOOKUP(3208,Depositos[],5,FALSE),"BORRADO")</f>
        <v>43014</v>
      </c>
      <c r="F483" s="41">
        <f ca="1">IFERROR(VLOOKUP(3208,Depositos[],6,FALSE),"BORRADO")</f>
        <v>91960</v>
      </c>
      <c r="G483" s="40" t="str">
        <f>IFERROR(VLOOKUP(3208,Depositos[],7,FALSE),"BORRADO")</f>
        <v>MACRO 68035388 MUNICIP./ECCI</v>
      </c>
      <c r="H483" s="40">
        <f>IFERROR(VLOOKUP(3208,Depositos[],8,FALSE),"BORRADO")</f>
        <v>0</v>
      </c>
      <c r="I483" s="40">
        <f>IFERROR(VLOOKUP(3208,Depositos[],9,FALSE),"BORRADO")</f>
        <v>0</v>
      </c>
    </row>
    <row r="484" spans="1:9">
      <c r="A484" s="38" t="s">
        <v>355</v>
      </c>
      <c r="B484" s="39" t="str">
        <f>IFERROR(VLOOKUP(9737,Gastos[],2,FALSE),"BORRADO")</f>
        <v>BORRADO</v>
      </c>
      <c r="C484" s="40" t="str">
        <f>IFERROR(VLOOKUP(9737,Gastos[],3,FALSE),"BORRADO")</f>
        <v>BORRADO</v>
      </c>
      <c r="D484" s="41" t="str">
        <f>IFERROR(VLOOKUP(9737,Gastos[],4,FALSE),"BORRADO")</f>
        <v>BORRADO</v>
      </c>
      <c r="E484" s="42" t="str">
        <f>IFERROR(VLOOKUP(9737,Gastos[],5,FALSE),"BORRADO")</f>
        <v>BORRADO</v>
      </c>
      <c r="F484" s="41" t="str">
        <f>IFERROR(VLOOKUP(9737,Gastos[],6,FALSE),"BORRADO")</f>
        <v>BORRADO</v>
      </c>
      <c r="G484" s="40" t="str">
        <f>IFERROR(VLOOKUP(9737,Gastos[],7,FALSE),"BORRADO")</f>
        <v>BORRADO</v>
      </c>
      <c r="H484" s="40" t="str">
        <f>IFERROR(VLOOKUP(9737,Gastos[],8,FALSE),"BORRADO")</f>
        <v>BORRADO</v>
      </c>
      <c r="I484" s="40" t="str">
        <f>IFERROR(VLOOKUP(9737,Gastos[],9,FALSE),"BORRADO")</f>
        <v>BORRADO</v>
      </c>
    </row>
    <row r="485" spans="1:9">
      <c r="A485" s="38" t="s">
        <v>355</v>
      </c>
      <c r="B485" s="39" t="str">
        <f>IFERROR(VLOOKUP(9738,Gastos[],2,FALSE),"BORRADO")</f>
        <v>BORRADO</v>
      </c>
      <c r="C485" s="40" t="str">
        <f>IFERROR(VLOOKUP(9738,Gastos[],3,FALSE),"BORRADO")</f>
        <v>BORRADO</v>
      </c>
      <c r="D485" s="41" t="str">
        <f>IFERROR(VLOOKUP(9738,Gastos[],4,FALSE),"BORRADO")</f>
        <v>BORRADO</v>
      </c>
      <c r="E485" s="42" t="str">
        <f>IFERROR(VLOOKUP(9738,Gastos[],5,FALSE),"BORRADO")</f>
        <v>BORRADO</v>
      </c>
      <c r="F485" s="41" t="str">
        <f>IFERROR(VLOOKUP(9738,Gastos[],6,FALSE),"BORRADO")</f>
        <v>BORRADO</v>
      </c>
      <c r="G485" s="40" t="str">
        <f>IFERROR(VLOOKUP(9738,Gastos[],7,FALSE),"BORRADO")</f>
        <v>BORRADO</v>
      </c>
      <c r="H485" s="40" t="str">
        <f>IFERROR(VLOOKUP(9738,Gastos[],8,FALSE),"BORRADO")</f>
        <v>BORRADO</v>
      </c>
      <c r="I485" s="40" t="str">
        <f>IFERROR(VLOOKUP(9738,Gastos[],9,FALSE),"BORRADO")</f>
        <v>BORRADO</v>
      </c>
    </row>
    <row r="486" spans="1:9">
      <c r="A486" s="38" t="s">
        <v>355</v>
      </c>
      <c r="B486" s="39" t="str">
        <f>IFERROR(VLOOKUP(9739,Gastos[],2,FALSE),"BORRADO")</f>
        <v>BORRADO</v>
      </c>
      <c r="C486" s="40" t="str">
        <f>IFERROR(VLOOKUP(9739,Gastos[],3,FALSE),"BORRADO")</f>
        <v>BORRADO</v>
      </c>
      <c r="D486" s="41" t="str">
        <f>IFERROR(VLOOKUP(9739,Gastos[],4,FALSE),"BORRADO")</f>
        <v>BORRADO</v>
      </c>
      <c r="E486" s="42" t="str">
        <f>IFERROR(VLOOKUP(9739,Gastos[],5,FALSE),"BORRADO")</f>
        <v>BORRADO</v>
      </c>
      <c r="F486" s="41" t="str">
        <f>IFERROR(VLOOKUP(9739,Gastos[],6,FALSE),"BORRADO")</f>
        <v>BORRADO</v>
      </c>
      <c r="G486" s="40" t="str">
        <f>IFERROR(VLOOKUP(9739,Gastos[],7,FALSE),"BORRADO")</f>
        <v>BORRADO</v>
      </c>
      <c r="H486" s="40" t="str">
        <f>IFERROR(VLOOKUP(9739,Gastos[],8,FALSE),"BORRADO")</f>
        <v>BORRADO</v>
      </c>
      <c r="I486" s="40" t="str">
        <f>IFERROR(VLOOKUP(9739,Gastos[],9,FALSE),"BORRADO")</f>
        <v>BORRADO</v>
      </c>
    </row>
    <row r="487" spans="1:9">
      <c r="A487" s="38" t="s">
        <v>355</v>
      </c>
      <c r="B487" s="39" t="str">
        <f>IFERROR(VLOOKUP(9740,Gastos[],2,FALSE),"BORRADO")</f>
        <v>BORRADO</v>
      </c>
      <c r="C487" s="40" t="str">
        <f>IFERROR(VLOOKUP(9740,Gastos[],3,FALSE),"BORRADO")</f>
        <v>BORRADO</v>
      </c>
      <c r="D487" s="41" t="str">
        <f>IFERROR(VLOOKUP(9740,Gastos[],4,FALSE),"BORRADO")</f>
        <v>BORRADO</v>
      </c>
      <c r="E487" s="42" t="str">
        <f>IFERROR(VLOOKUP(9740,Gastos[],5,FALSE),"BORRADO")</f>
        <v>BORRADO</v>
      </c>
      <c r="F487" s="41" t="str">
        <f>IFERROR(VLOOKUP(9740,Gastos[],6,FALSE),"BORRADO")</f>
        <v>BORRADO</v>
      </c>
      <c r="G487" s="40" t="str">
        <f>IFERROR(VLOOKUP(9740,Gastos[],7,FALSE),"BORRADO")</f>
        <v>BORRADO</v>
      </c>
      <c r="H487" s="40" t="str">
        <f>IFERROR(VLOOKUP(9740,Gastos[],8,FALSE),"BORRADO")</f>
        <v>BORRADO</v>
      </c>
      <c r="I487" s="40" t="str">
        <f>IFERROR(VLOOKUP(9740,Gastos[],9,FALSE),"BORRADO")</f>
        <v>BORRADO</v>
      </c>
    </row>
    <row r="488" spans="1:9">
      <c r="A488" s="38" t="s">
        <v>355</v>
      </c>
      <c r="B488" s="39" t="str">
        <f>IFERROR(VLOOKUP(9741,Gastos[],2,FALSE),"BORRADO")</f>
        <v>BORRADO</v>
      </c>
      <c r="C488" s="40" t="str">
        <f>IFERROR(VLOOKUP(9741,Gastos[],3,FALSE),"BORRADO")</f>
        <v>BORRADO</v>
      </c>
      <c r="D488" s="41" t="str">
        <f>IFERROR(VLOOKUP(9741,Gastos[],4,FALSE),"BORRADO")</f>
        <v>BORRADO</v>
      </c>
      <c r="E488" s="42" t="str">
        <f>IFERROR(VLOOKUP(9741,Gastos[],5,FALSE),"BORRADO")</f>
        <v>BORRADO</v>
      </c>
      <c r="F488" s="41" t="str">
        <f>IFERROR(VLOOKUP(9741,Gastos[],6,FALSE),"BORRADO")</f>
        <v>BORRADO</v>
      </c>
      <c r="G488" s="40" t="str">
        <f>IFERROR(VLOOKUP(9741,Gastos[],7,FALSE),"BORRADO")</f>
        <v>BORRADO</v>
      </c>
      <c r="H488" s="40" t="str">
        <f>IFERROR(VLOOKUP(9741,Gastos[],8,FALSE),"BORRADO")</f>
        <v>BORRADO</v>
      </c>
      <c r="I488" s="40" t="str">
        <f>IFERROR(VLOOKUP(9741,Gastos[],9,FALSE),"BORRADO")</f>
        <v>BORRADO</v>
      </c>
    </row>
    <row r="489" spans="1:9">
      <c r="A489" s="38" t="s">
        <v>355</v>
      </c>
      <c r="B489" s="39" t="str">
        <f>IFERROR(VLOOKUP(9742,Gastos[],2,FALSE),"BORRADO")</f>
        <v>BORRADO</v>
      </c>
      <c r="C489" s="40" t="str">
        <f>IFERROR(VLOOKUP(9742,Gastos[],3,FALSE),"BORRADO")</f>
        <v>BORRADO</v>
      </c>
      <c r="D489" s="41" t="str">
        <f>IFERROR(VLOOKUP(9742,Gastos[],4,FALSE),"BORRADO")</f>
        <v>BORRADO</v>
      </c>
      <c r="E489" s="42" t="str">
        <f>IFERROR(VLOOKUP(9742,Gastos[],5,FALSE),"BORRADO")</f>
        <v>BORRADO</v>
      </c>
      <c r="F489" s="41" t="str">
        <f>IFERROR(VLOOKUP(9742,Gastos[],6,FALSE),"BORRADO")</f>
        <v>BORRADO</v>
      </c>
      <c r="G489" s="40" t="str">
        <f>IFERROR(VLOOKUP(9742,Gastos[],7,FALSE),"BORRADO")</f>
        <v>BORRADO</v>
      </c>
      <c r="H489" s="40" t="str">
        <f>IFERROR(VLOOKUP(9742,Gastos[],8,FALSE),"BORRADO")</f>
        <v>BORRADO</v>
      </c>
      <c r="I489" s="40" t="str">
        <f>IFERROR(VLOOKUP(9742,Gastos[],9,FALSE),"BORRADO")</f>
        <v>BORRADO</v>
      </c>
    </row>
    <row r="490" spans="1:9">
      <c r="A490" s="38" t="s">
        <v>355</v>
      </c>
      <c r="B490" s="39" t="str">
        <f>IFERROR(VLOOKUP(9743,Gastos[],2,FALSE),"BORRADO")</f>
        <v>BORRADO</v>
      </c>
      <c r="C490" s="40" t="str">
        <f>IFERROR(VLOOKUP(9743,Gastos[],3,FALSE),"BORRADO")</f>
        <v>BORRADO</v>
      </c>
      <c r="D490" s="41" t="str">
        <f>IFERROR(VLOOKUP(9743,Gastos[],4,FALSE),"BORRADO")</f>
        <v>BORRADO</v>
      </c>
      <c r="E490" s="42" t="str">
        <f>IFERROR(VLOOKUP(9743,Gastos[],5,FALSE),"BORRADO")</f>
        <v>BORRADO</v>
      </c>
      <c r="F490" s="41" t="str">
        <f>IFERROR(VLOOKUP(9743,Gastos[],6,FALSE),"BORRADO")</f>
        <v>BORRADO</v>
      </c>
      <c r="G490" s="40" t="str">
        <f>IFERROR(VLOOKUP(9743,Gastos[],7,FALSE),"BORRADO")</f>
        <v>BORRADO</v>
      </c>
      <c r="H490" s="40" t="str">
        <f>IFERROR(VLOOKUP(9743,Gastos[],8,FALSE),"BORRADO")</f>
        <v>BORRADO</v>
      </c>
      <c r="I490" s="40" t="str">
        <f>IFERROR(VLOOKUP(9743,Gastos[],9,FALSE),"BORRADO")</f>
        <v>BORRADO</v>
      </c>
    </row>
    <row r="491" spans="1:9">
      <c r="A491" s="38" t="s">
        <v>355</v>
      </c>
      <c r="B491" s="39" t="str">
        <f>IFERROR(VLOOKUP(9744,Gastos[],2,FALSE),"BORRADO")</f>
        <v>BORRADO</v>
      </c>
      <c r="C491" s="40" t="str">
        <f>IFERROR(VLOOKUP(9744,Gastos[],3,FALSE),"BORRADO")</f>
        <v>BORRADO</v>
      </c>
      <c r="D491" s="41" t="str">
        <f>IFERROR(VLOOKUP(9744,Gastos[],4,FALSE),"BORRADO")</f>
        <v>BORRADO</v>
      </c>
      <c r="E491" s="42" t="str">
        <f>IFERROR(VLOOKUP(9744,Gastos[],5,FALSE),"BORRADO")</f>
        <v>BORRADO</v>
      </c>
      <c r="F491" s="41" t="str">
        <f>IFERROR(VLOOKUP(9744,Gastos[],6,FALSE),"BORRADO")</f>
        <v>BORRADO</v>
      </c>
      <c r="G491" s="40" t="str">
        <f>IFERROR(VLOOKUP(9744,Gastos[],7,FALSE),"BORRADO")</f>
        <v>BORRADO</v>
      </c>
      <c r="H491" s="40" t="str">
        <f>IFERROR(VLOOKUP(9744,Gastos[],8,FALSE),"BORRADO")</f>
        <v>BORRADO</v>
      </c>
      <c r="I491" s="40" t="str">
        <f>IFERROR(VLOOKUP(9744,Gastos[],9,FALSE),"BORRADO")</f>
        <v>BORRADO</v>
      </c>
    </row>
    <row r="492" spans="1:9">
      <c r="A492" s="38" t="s">
        <v>354</v>
      </c>
      <c r="B492" s="39">
        <f>IFERROR(VLOOKUP(3210,Depositos[],2,FALSE),"BORRADO")</f>
        <v>43014</v>
      </c>
      <c r="C492" s="40" t="str">
        <f>IFERROR(VLOOKUP(3210,Depositos[],3,FALSE),"BORRADO")</f>
        <v>RR CHEQUE</v>
      </c>
      <c r="D492" s="41">
        <f>IFERROR(VLOOKUP(3210,Depositos[],4,FALSE),"BORRADO")</f>
        <v>237500</v>
      </c>
      <c r="E492" s="42">
        <f>IFERROR(VLOOKUP(3210,Depositos[],5,FALSE),"BORRADO")</f>
        <v>43017</v>
      </c>
      <c r="F492" s="41">
        <f ca="1">IFERROR(VLOOKUP(3210,Depositos[],6,FALSE),"BORRADO")</f>
        <v>51564</v>
      </c>
      <c r="G492" s="40" t="str">
        <f>IFERROR(VLOOKUP(3210,Depositos[],7,FALSE),"BORRADO")</f>
        <v>MACRO 51681469</v>
      </c>
      <c r="H492" s="40">
        <f>IFERROR(VLOOKUP(3210,Depositos[],8,FALSE),"BORRADO")</f>
        <v>0</v>
      </c>
      <c r="I492" s="40">
        <f>IFERROR(VLOOKUP(3210,Depositos[],9,FALSE),"BORRADO")</f>
        <v>0</v>
      </c>
    </row>
    <row r="493" spans="1:9">
      <c r="A493" s="38" t="s">
        <v>353</v>
      </c>
      <c r="B493" s="39">
        <f>IFERROR(VLOOKUP(2154,Chequeras[],2,FALSE),"BORRADO")</f>
        <v>43014</v>
      </c>
      <c r="C493" s="40" t="str">
        <f>IFERROR(VLOOKUP(2154,Chequeras[],3,FALSE),"BORRADO")</f>
        <v>01670221</v>
      </c>
      <c r="D493" s="41">
        <f>IFERROR(VLOOKUP(2154,Chequeras[],4,FALSE),"BORRADO")</f>
        <v>-105553</v>
      </c>
      <c r="E493" s="42">
        <f>IFERROR(VLOOKUP(2154,Chequeras[],5,FALSE),"BORRADO")</f>
        <v>43120</v>
      </c>
      <c r="F493" s="41">
        <f ca="1">IFERROR(VLOOKUP(2154,Chequeras[],6,FALSE),"BORRADO")</f>
        <v>74168</v>
      </c>
      <c r="G493" s="40" t="str">
        <f>IFERROR(VLOOKUP(2154,Chequeras[],7,FALSE),"BORRADO")</f>
        <v>Lombardi Camiones SA</v>
      </c>
      <c r="H493" s="40" t="str">
        <f>IFERROR(VLOOKUP(2154,Chequeras[],8,FALSE),"BORRADO")</f>
        <v>lh</v>
      </c>
      <c r="I493" s="40">
        <f>IFERROR(VLOOKUP(2154,Chequeras[],9,FALSE),"BORRADO")</f>
        <v>94</v>
      </c>
    </row>
    <row r="494" spans="1:9">
      <c r="A494" s="38" t="s">
        <v>353</v>
      </c>
      <c r="B494" s="39">
        <f>IFERROR(VLOOKUP(2155,Chequeras[],2,FALSE),"BORRADO")</f>
        <v>43014</v>
      </c>
      <c r="C494" s="40" t="str">
        <f>IFERROR(VLOOKUP(2155,Chequeras[],3,FALSE),"BORRADO")</f>
        <v>01670222</v>
      </c>
      <c r="D494" s="41">
        <f>IFERROR(VLOOKUP(2155,Chequeras[],4,FALSE),"BORRADO")</f>
        <v>-105553</v>
      </c>
      <c r="E494" s="42">
        <f>IFERROR(VLOOKUP(2155,Chequeras[],5,FALSE),"BORRADO")</f>
        <v>43151</v>
      </c>
      <c r="F494" s="41">
        <f ca="1">IFERROR(VLOOKUP(2155,Chequeras[],6,FALSE),"BORRADO")</f>
        <v>16504</v>
      </c>
      <c r="G494" s="40" t="str">
        <f>IFERROR(VLOOKUP(2155,Chequeras[],7,FALSE),"BORRADO")</f>
        <v>Lombardi Camiones SA</v>
      </c>
      <c r="H494" s="40" t="str">
        <f>IFERROR(VLOOKUP(2155,Chequeras[],8,FALSE),"BORRADO")</f>
        <v>lh</v>
      </c>
      <c r="I494" s="40">
        <f>IFERROR(VLOOKUP(2155,Chequeras[],9,FALSE),"BORRADO")</f>
        <v>94</v>
      </c>
    </row>
    <row r="495" spans="1:9">
      <c r="A495" s="38" t="s">
        <v>353</v>
      </c>
      <c r="B495" s="39">
        <f>IFERROR(VLOOKUP(2157,Chequeras[],2,FALSE),"BORRADO")</f>
        <v>43014</v>
      </c>
      <c r="C495" s="40" t="str">
        <f>IFERROR(VLOOKUP(2157,Chequeras[],3,FALSE),"BORRADO")</f>
        <v>01670225</v>
      </c>
      <c r="D495" s="41">
        <f>IFERROR(VLOOKUP(2157,Chequeras[],4,FALSE),"BORRADO")</f>
        <v>-105553</v>
      </c>
      <c r="E495" s="42">
        <f>IFERROR(VLOOKUP(2157,Chequeras[],5,FALSE),"BORRADO")</f>
        <v>43179</v>
      </c>
      <c r="F495" s="41">
        <f ca="1">IFERROR(VLOOKUP(2157,Chequeras[],6,FALSE),"BORRADO")</f>
        <v>21247</v>
      </c>
      <c r="G495" s="40" t="str">
        <f>IFERROR(VLOOKUP(2157,Chequeras[],7,FALSE),"BORRADO")</f>
        <v>Lombardi Camiones SA</v>
      </c>
      <c r="H495" s="40" t="str">
        <f>IFERROR(VLOOKUP(2157,Chequeras[],8,FALSE),"BORRADO")</f>
        <v>lh</v>
      </c>
      <c r="I495" s="40">
        <f>IFERROR(VLOOKUP(2157,Chequeras[],9,FALSE),"BORRADO")</f>
        <v>94</v>
      </c>
    </row>
    <row r="496" spans="1:9">
      <c r="A496" s="38" t="s">
        <v>353</v>
      </c>
      <c r="B496" s="39">
        <f>IFERROR(VLOOKUP(2156,Chequeras[],2,FALSE),"BORRADO")</f>
        <v>43014</v>
      </c>
      <c r="C496" s="40" t="str">
        <f>IFERROR(VLOOKUP(2156,Chequeras[],3,FALSE),"BORRADO")</f>
        <v>01670224</v>
      </c>
      <c r="D496" s="41">
        <f>IFERROR(VLOOKUP(2156,Chequeras[],4,FALSE),"BORRADO")</f>
        <v>-105555.43</v>
      </c>
      <c r="E496" s="42">
        <f>IFERROR(VLOOKUP(2156,Chequeras[],5,FALSE),"BORRADO")</f>
        <v>43200</v>
      </c>
      <c r="F496" s="41">
        <f ca="1">IFERROR(VLOOKUP(2156,Chequeras[],6,FALSE),"BORRADO")</f>
        <v>26435</v>
      </c>
      <c r="G496" s="40" t="str">
        <f>IFERROR(VLOOKUP(2156,Chequeras[],7,FALSE),"BORRADO")</f>
        <v>Lombardi Camiones SA</v>
      </c>
      <c r="H496" s="40" t="str">
        <f>IFERROR(VLOOKUP(2156,Chequeras[],8,FALSE),"BORRADO")</f>
        <v>lh</v>
      </c>
      <c r="I496" s="40">
        <f>IFERROR(VLOOKUP(2156,Chequeras[],9,FALSE),"BORRADO")</f>
        <v>94</v>
      </c>
    </row>
    <row r="497" spans="1:9">
      <c r="A497" s="38" t="s">
        <v>355</v>
      </c>
      <c r="B497" s="39" t="str">
        <f>IFERROR(VLOOKUP(9745,Gastos[],2,FALSE),"BORRADO")</f>
        <v>BORRADO</v>
      </c>
      <c r="C497" s="40" t="str">
        <f>IFERROR(VLOOKUP(9745,Gastos[],3,FALSE),"BORRADO")</f>
        <v>BORRADO</v>
      </c>
      <c r="D497" s="41" t="str">
        <f>IFERROR(VLOOKUP(9745,Gastos[],4,FALSE),"BORRADO")</f>
        <v>BORRADO</v>
      </c>
      <c r="E497" s="42" t="str">
        <f>IFERROR(VLOOKUP(9745,Gastos[],5,FALSE),"BORRADO")</f>
        <v>BORRADO</v>
      </c>
      <c r="F497" s="41" t="str">
        <f>IFERROR(VLOOKUP(9745,Gastos[],6,FALSE),"BORRADO")</f>
        <v>BORRADO</v>
      </c>
      <c r="G497" s="40" t="str">
        <f>IFERROR(VLOOKUP(9745,Gastos[],7,FALSE),"BORRADO")</f>
        <v>BORRADO</v>
      </c>
      <c r="H497" s="40" t="str">
        <f>IFERROR(VLOOKUP(9745,Gastos[],8,FALSE),"BORRADO")</f>
        <v>BORRADO</v>
      </c>
      <c r="I497" s="40" t="str">
        <f>IFERROR(VLOOKUP(9745,Gastos[],9,FALSE),"BORRADO")</f>
        <v>BORRADO</v>
      </c>
    </row>
    <row r="498" spans="1:9">
      <c r="A498" s="38" t="s">
        <v>355</v>
      </c>
      <c r="B498" s="39" t="str">
        <f>IFERROR(VLOOKUP(9746,Gastos[],2,FALSE),"BORRADO")</f>
        <v>BORRADO</v>
      </c>
      <c r="C498" s="40" t="str">
        <f>IFERROR(VLOOKUP(9746,Gastos[],3,FALSE),"BORRADO")</f>
        <v>BORRADO</v>
      </c>
      <c r="D498" s="41" t="str">
        <f>IFERROR(VLOOKUP(9746,Gastos[],4,FALSE),"BORRADO")</f>
        <v>BORRADO</v>
      </c>
      <c r="E498" s="42" t="str">
        <f>IFERROR(VLOOKUP(9746,Gastos[],5,FALSE),"BORRADO")</f>
        <v>BORRADO</v>
      </c>
      <c r="F498" s="41" t="str">
        <f>IFERROR(VLOOKUP(9746,Gastos[],6,FALSE),"BORRADO")</f>
        <v>BORRADO</v>
      </c>
      <c r="G498" s="40" t="str">
        <f>IFERROR(VLOOKUP(9746,Gastos[],7,FALSE),"BORRADO")</f>
        <v>BORRADO</v>
      </c>
      <c r="H498" s="40" t="str">
        <f>IFERROR(VLOOKUP(9746,Gastos[],8,FALSE),"BORRADO")</f>
        <v>BORRADO</v>
      </c>
      <c r="I498" s="40" t="str">
        <f>IFERROR(VLOOKUP(9746,Gastos[],9,FALSE),"BORRADO")</f>
        <v>BORRADO</v>
      </c>
    </row>
    <row r="499" spans="1:9">
      <c r="A499" s="38" t="s">
        <v>355</v>
      </c>
      <c r="B499" s="39" t="str">
        <f>IFERROR(VLOOKUP(9747,Gastos[],2,FALSE),"BORRADO")</f>
        <v>BORRADO</v>
      </c>
      <c r="C499" s="40" t="str">
        <f>IFERROR(VLOOKUP(9747,Gastos[],3,FALSE),"BORRADO")</f>
        <v>BORRADO</v>
      </c>
      <c r="D499" s="41" t="str">
        <f>IFERROR(VLOOKUP(9747,Gastos[],4,FALSE),"BORRADO")</f>
        <v>BORRADO</v>
      </c>
      <c r="E499" s="42" t="str">
        <f>IFERROR(VLOOKUP(9747,Gastos[],5,FALSE),"BORRADO")</f>
        <v>BORRADO</v>
      </c>
      <c r="F499" s="41" t="str">
        <f>IFERROR(VLOOKUP(9747,Gastos[],6,FALSE),"BORRADO")</f>
        <v>BORRADO</v>
      </c>
      <c r="G499" s="40" t="str">
        <f>IFERROR(VLOOKUP(9747,Gastos[],7,FALSE),"BORRADO")</f>
        <v>BORRADO</v>
      </c>
      <c r="H499" s="40" t="str">
        <f>IFERROR(VLOOKUP(9747,Gastos[],8,FALSE),"BORRADO")</f>
        <v>BORRADO</v>
      </c>
      <c r="I499" s="40" t="str">
        <f>IFERROR(VLOOKUP(9747,Gastos[],9,FALSE),"BORRADO")</f>
        <v>BORRADO</v>
      </c>
    </row>
    <row r="500" spans="1:9">
      <c r="A500" s="38" t="s">
        <v>355</v>
      </c>
      <c r="B500" s="39" t="str">
        <f>IFERROR(VLOOKUP(9748,Gastos[],2,FALSE),"BORRADO")</f>
        <v>BORRADO</v>
      </c>
      <c r="C500" s="40" t="str">
        <f>IFERROR(VLOOKUP(9748,Gastos[],3,FALSE),"BORRADO")</f>
        <v>BORRADO</v>
      </c>
      <c r="D500" s="41" t="str">
        <f>IFERROR(VLOOKUP(9748,Gastos[],4,FALSE),"BORRADO")</f>
        <v>BORRADO</v>
      </c>
      <c r="E500" s="42" t="str">
        <f>IFERROR(VLOOKUP(9748,Gastos[],5,FALSE),"BORRADO")</f>
        <v>BORRADO</v>
      </c>
      <c r="F500" s="41" t="str">
        <f>IFERROR(VLOOKUP(9748,Gastos[],6,FALSE),"BORRADO")</f>
        <v>BORRADO</v>
      </c>
      <c r="G500" s="40" t="str">
        <f>IFERROR(VLOOKUP(9748,Gastos[],7,FALSE),"BORRADO")</f>
        <v>BORRADO</v>
      </c>
      <c r="H500" s="40" t="str">
        <f>IFERROR(VLOOKUP(9748,Gastos[],8,FALSE),"BORRADO")</f>
        <v>BORRADO</v>
      </c>
      <c r="I500" s="40" t="str">
        <f>IFERROR(VLOOKUP(9748,Gastos[],9,FALSE),"BORRADO")</f>
        <v>BORRADO</v>
      </c>
    </row>
    <row r="501" spans="1:9">
      <c r="A501" s="38" t="s">
        <v>355</v>
      </c>
      <c r="B501" s="39" t="str">
        <f>IFERROR(VLOOKUP(9749,Gastos[],2,FALSE),"BORRADO")</f>
        <v>BORRADO</v>
      </c>
      <c r="C501" s="40" t="str">
        <f>IFERROR(VLOOKUP(9749,Gastos[],3,FALSE),"BORRADO")</f>
        <v>BORRADO</v>
      </c>
      <c r="D501" s="41" t="str">
        <f>IFERROR(VLOOKUP(9749,Gastos[],4,FALSE),"BORRADO")</f>
        <v>BORRADO</v>
      </c>
      <c r="E501" s="42" t="str">
        <f>IFERROR(VLOOKUP(9749,Gastos[],5,FALSE),"BORRADO")</f>
        <v>BORRADO</v>
      </c>
      <c r="F501" s="41" t="str">
        <f>IFERROR(VLOOKUP(9749,Gastos[],6,FALSE),"BORRADO")</f>
        <v>BORRADO</v>
      </c>
      <c r="G501" s="40" t="str">
        <f>IFERROR(VLOOKUP(9749,Gastos[],7,FALSE),"BORRADO")</f>
        <v>BORRADO</v>
      </c>
      <c r="H501" s="40" t="str">
        <f>IFERROR(VLOOKUP(9749,Gastos[],8,FALSE),"BORRADO")</f>
        <v>BORRADO</v>
      </c>
      <c r="I501" s="40" t="str">
        <f>IFERROR(VLOOKUP(9749,Gastos[],9,FALSE),"BORRADO")</f>
        <v>BORRADO</v>
      </c>
    </row>
    <row r="502" spans="1:9">
      <c r="A502" s="38" t="s">
        <v>355</v>
      </c>
      <c r="B502" s="39" t="str">
        <f>IFERROR(VLOOKUP(9750,Gastos[],2,FALSE),"BORRADO")</f>
        <v>BORRADO</v>
      </c>
      <c r="C502" s="40" t="str">
        <f>IFERROR(VLOOKUP(9750,Gastos[],3,FALSE),"BORRADO")</f>
        <v>BORRADO</v>
      </c>
      <c r="D502" s="41" t="str">
        <f>IFERROR(VLOOKUP(9750,Gastos[],4,FALSE),"BORRADO")</f>
        <v>BORRADO</v>
      </c>
      <c r="E502" s="42" t="str">
        <f>IFERROR(VLOOKUP(9750,Gastos[],5,FALSE),"BORRADO")</f>
        <v>BORRADO</v>
      </c>
      <c r="F502" s="41" t="str">
        <f>IFERROR(VLOOKUP(9750,Gastos[],6,FALSE),"BORRADO")</f>
        <v>BORRADO</v>
      </c>
      <c r="G502" s="40" t="str">
        <f>IFERROR(VLOOKUP(9750,Gastos[],7,FALSE),"BORRADO")</f>
        <v>BORRADO</v>
      </c>
      <c r="H502" s="40" t="str">
        <f>IFERROR(VLOOKUP(9750,Gastos[],8,FALSE),"BORRADO")</f>
        <v>BORRADO</v>
      </c>
      <c r="I502" s="40" t="str">
        <f>IFERROR(VLOOKUP(9750,Gastos[],9,FALSE),"BORRADO")</f>
        <v>BORRADO</v>
      </c>
    </row>
    <row r="503" spans="1:9">
      <c r="A503" s="38" t="s">
        <v>355</v>
      </c>
      <c r="B503" s="39" t="str">
        <f>IFERROR(VLOOKUP(9751,Gastos[],2,FALSE),"BORRADO")</f>
        <v>BORRADO</v>
      </c>
      <c r="C503" s="40" t="str">
        <f>IFERROR(VLOOKUP(9751,Gastos[],3,FALSE),"BORRADO")</f>
        <v>BORRADO</v>
      </c>
      <c r="D503" s="41" t="str">
        <f>IFERROR(VLOOKUP(9751,Gastos[],4,FALSE),"BORRADO")</f>
        <v>BORRADO</v>
      </c>
      <c r="E503" s="42" t="str">
        <f>IFERROR(VLOOKUP(9751,Gastos[],5,FALSE),"BORRADO")</f>
        <v>BORRADO</v>
      </c>
      <c r="F503" s="41" t="str">
        <f>IFERROR(VLOOKUP(9751,Gastos[],6,FALSE),"BORRADO")</f>
        <v>BORRADO</v>
      </c>
      <c r="G503" s="40" t="str">
        <f>IFERROR(VLOOKUP(9751,Gastos[],7,FALSE),"BORRADO")</f>
        <v>BORRADO</v>
      </c>
      <c r="H503" s="40" t="str">
        <f>IFERROR(VLOOKUP(9751,Gastos[],8,FALSE),"BORRADO")</f>
        <v>BORRADO</v>
      </c>
      <c r="I503" s="40" t="str">
        <f>IFERROR(VLOOKUP(9751,Gastos[],9,FALSE),"BORRADO")</f>
        <v>BORRADO</v>
      </c>
    </row>
    <row r="504" spans="1:9">
      <c r="A504" s="38" t="s">
        <v>354</v>
      </c>
      <c r="B504" s="39">
        <f>IFERROR(VLOOKUP(3211,Depositos[],2,FALSE),"BORRADO")</f>
        <v>43017</v>
      </c>
      <c r="C504" s="40" t="str">
        <f>IFERROR(VLOOKUP(3211,Depositos[],3,FALSE),"BORRADO")</f>
        <v>RR CHEQUE</v>
      </c>
      <c r="D504" s="41">
        <f>IFERROR(VLOOKUP(3211,Depositos[],4,FALSE),"BORRADO")</f>
        <v>8353.3700000000008</v>
      </c>
      <c r="E504" s="42">
        <f>IFERROR(VLOOKUP(3211,Depositos[],5,FALSE),"BORRADO")</f>
        <v>43018</v>
      </c>
      <c r="F504" s="41">
        <f ca="1">IFERROR(VLOOKUP(3211,Depositos[],6,FALSE),"BORRADO")</f>
        <v>3660</v>
      </c>
      <c r="G504" s="40" t="str">
        <f>IFERROR(VLOOKUP(3211,Depositos[],7,FALSE),"BORRADO")</f>
        <v>INDUSTRIAL 13218029</v>
      </c>
      <c r="H504" s="40">
        <f>IFERROR(VLOOKUP(3211,Depositos[],8,FALSE),"BORRADO")</f>
        <v>0</v>
      </c>
      <c r="I504" s="40">
        <f>IFERROR(VLOOKUP(3211,Depositos[],9,FALSE),"BORRADO")</f>
        <v>0</v>
      </c>
    </row>
    <row r="505" spans="1:9">
      <c r="A505" s="38" t="s">
        <v>354</v>
      </c>
      <c r="B505" s="39">
        <f>IFERROR(VLOOKUP(3212,Depositos[],2,FALSE),"BORRADO")</f>
        <v>43017</v>
      </c>
      <c r="C505" s="40" t="str">
        <f>IFERROR(VLOOKUP(3212,Depositos[],3,FALSE),"BORRADO")</f>
        <v>RR CHEQUE</v>
      </c>
      <c r="D505" s="41">
        <f>IFERROR(VLOOKUP(3212,Depositos[],4,FALSE),"BORRADO")</f>
        <v>8984.49</v>
      </c>
      <c r="E505" s="42">
        <f>IFERROR(VLOOKUP(3212,Depositos[],5,FALSE),"BORRADO")</f>
        <v>43018</v>
      </c>
      <c r="F505" s="41">
        <f ca="1">IFERROR(VLOOKUP(3212,Depositos[],6,FALSE),"BORRADO")</f>
        <v>8942</v>
      </c>
      <c r="G505" s="40" t="str">
        <f>IFERROR(VLOOKUP(3212,Depositos[],7,FALSE),"BORRADO")</f>
        <v>INDUSTRIAL 12756955</v>
      </c>
      <c r="H505" s="40">
        <f>IFERROR(VLOOKUP(3212,Depositos[],8,FALSE),"BORRADO")</f>
        <v>0</v>
      </c>
      <c r="I505" s="40">
        <f>IFERROR(VLOOKUP(3212,Depositos[],9,FALSE),"BORRADO")</f>
        <v>0</v>
      </c>
    </row>
    <row r="506" spans="1:9">
      <c r="A506" s="38" t="s">
        <v>354</v>
      </c>
      <c r="B506" s="39">
        <f>IFERROR(VLOOKUP(3213,Depositos[],2,FALSE),"BORRADO")</f>
        <v>43017</v>
      </c>
      <c r="C506" s="40" t="str">
        <f>IFERROR(VLOOKUP(3213,Depositos[],3,FALSE),"BORRADO")</f>
        <v>RR CHEQUE</v>
      </c>
      <c r="D506" s="41">
        <f>IFERROR(VLOOKUP(3213,Depositos[],4,FALSE),"BORRADO")</f>
        <v>14105.85</v>
      </c>
      <c r="E506" s="42">
        <f>IFERROR(VLOOKUP(3213,Depositos[],5,FALSE),"BORRADO")</f>
        <v>43018</v>
      </c>
      <c r="F506" s="41">
        <f ca="1">IFERROR(VLOOKUP(3213,Depositos[],6,FALSE),"BORRADO")</f>
        <v>6753</v>
      </c>
      <c r="G506" s="40" t="str">
        <f>IFERROR(VLOOKUP(3213,Depositos[],7,FALSE),"BORRADO")</f>
        <v>INDUSTRIAL 12756964</v>
      </c>
      <c r="H506" s="40">
        <f>IFERROR(VLOOKUP(3213,Depositos[],8,FALSE),"BORRADO")</f>
        <v>0</v>
      </c>
      <c r="I506" s="40">
        <f>IFERROR(VLOOKUP(3213,Depositos[],9,FALSE),"BORRADO")</f>
        <v>0</v>
      </c>
    </row>
    <row r="507" spans="1:9">
      <c r="A507" s="38" t="s">
        <v>355</v>
      </c>
      <c r="B507" s="39" t="str">
        <f>IFERROR(VLOOKUP(9752,Gastos[],2,FALSE),"BORRADO")</f>
        <v>BORRADO</v>
      </c>
      <c r="C507" s="40" t="str">
        <f>IFERROR(VLOOKUP(9752,Gastos[],3,FALSE),"BORRADO")</f>
        <v>BORRADO</v>
      </c>
      <c r="D507" s="41" t="str">
        <f>IFERROR(VLOOKUP(9752,Gastos[],4,FALSE),"BORRADO")</f>
        <v>BORRADO</v>
      </c>
      <c r="E507" s="42" t="str">
        <f>IFERROR(VLOOKUP(9752,Gastos[],5,FALSE),"BORRADO")</f>
        <v>BORRADO</v>
      </c>
      <c r="F507" s="41" t="str">
        <f>IFERROR(VLOOKUP(9752,Gastos[],6,FALSE),"BORRADO")</f>
        <v>BORRADO</v>
      </c>
      <c r="G507" s="40" t="str">
        <f>IFERROR(VLOOKUP(9752,Gastos[],7,FALSE),"BORRADO")</f>
        <v>BORRADO</v>
      </c>
      <c r="H507" s="40" t="str">
        <f>IFERROR(VLOOKUP(9752,Gastos[],8,FALSE),"BORRADO")</f>
        <v>BORRADO</v>
      </c>
      <c r="I507" s="40" t="str">
        <f>IFERROR(VLOOKUP(9752,Gastos[],9,FALSE),"BORRADO")</f>
        <v>BORRADO</v>
      </c>
    </row>
    <row r="508" spans="1:9">
      <c r="A508" s="38" t="s">
        <v>355</v>
      </c>
      <c r="B508" s="39" t="str">
        <f>IFERROR(VLOOKUP(9753,Gastos[],2,FALSE),"BORRADO")</f>
        <v>BORRADO</v>
      </c>
      <c r="C508" s="40" t="str">
        <f>IFERROR(VLOOKUP(9753,Gastos[],3,FALSE),"BORRADO")</f>
        <v>BORRADO</v>
      </c>
      <c r="D508" s="41" t="str">
        <f>IFERROR(VLOOKUP(9753,Gastos[],4,FALSE),"BORRADO")</f>
        <v>BORRADO</v>
      </c>
      <c r="E508" s="42" t="str">
        <f>IFERROR(VLOOKUP(9753,Gastos[],5,FALSE),"BORRADO")</f>
        <v>BORRADO</v>
      </c>
      <c r="F508" s="41" t="str">
        <f>IFERROR(VLOOKUP(9753,Gastos[],6,FALSE),"BORRADO")</f>
        <v>BORRADO</v>
      </c>
      <c r="G508" s="40" t="str">
        <f>IFERROR(VLOOKUP(9753,Gastos[],7,FALSE),"BORRADO")</f>
        <v>BORRADO</v>
      </c>
      <c r="H508" s="40" t="str">
        <f>IFERROR(VLOOKUP(9753,Gastos[],8,FALSE),"BORRADO")</f>
        <v>BORRADO</v>
      </c>
      <c r="I508" s="40" t="str">
        <f>IFERROR(VLOOKUP(9753,Gastos[],9,FALSE),"BORRADO")</f>
        <v>BORRADO</v>
      </c>
    </row>
    <row r="509" spans="1:9">
      <c r="A509" s="38" t="s">
        <v>355</v>
      </c>
      <c r="B509" s="39" t="str">
        <f>IFERROR(VLOOKUP(9754,Gastos[],2,FALSE),"BORRADO")</f>
        <v>BORRADO</v>
      </c>
      <c r="C509" s="40" t="str">
        <f>IFERROR(VLOOKUP(9754,Gastos[],3,FALSE),"BORRADO")</f>
        <v>BORRADO</v>
      </c>
      <c r="D509" s="41" t="str">
        <f>IFERROR(VLOOKUP(9754,Gastos[],4,FALSE),"BORRADO")</f>
        <v>BORRADO</v>
      </c>
      <c r="E509" s="42" t="str">
        <f>IFERROR(VLOOKUP(9754,Gastos[],5,FALSE),"BORRADO")</f>
        <v>BORRADO</v>
      </c>
      <c r="F509" s="41" t="str">
        <f>IFERROR(VLOOKUP(9754,Gastos[],6,FALSE),"BORRADO")</f>
        <v>BORRADO</v>
      </c>
      <c r="G509" s="40" t="str">
        <f>IFERROR(VLOOKUP(9754,Gastos[],7,FALSE),"BORRADO")</f>
        <v>BORRADO</v>
      </c>
      <c r="H509" s="40" t="str">
        <f>IFERROR(VLOOKUP(9754,Gastos[],8,FALSE),"BORRADO")</f>
        <v>BORRADO</v>
      </c>
      <c r="I509" s="40" t="str">
        <f>IFERROR(VLOOKUP(9754,Gastos[],9,FALSE),"BORRADO")</f>
        <v>BORRADO</v>
      </c>
    </row>
    <row r="510" spans="1:9">
      <c r="A510" s="38" t="s">
        <v>355</v>
      </c>
      <c r="B510" s="39" t="str">
        <f>IFERROR(VLOOKUP(9755,Gastos[],2,FALSE),"BORRADO")</f>
        <v>BORRADO</v>
      </c>
      <c r="C510" s="40" t="str">
        <f>IFERROR(VLOOKUP(9755,Gastos[],3,FALSE),"BORRADO")</f>
        <v>BORRADO</v>
      </c>
      <c r="D510" s="41" t="str">
        <f>IFERROR(VLOOKUP(9755,Gastos[],4,FALSE),"BORRADO")</f>
        <v>BORRADO</v>
      </c>
      <c r="E510" s="42" t="str">
        <f>IFERROR(VLOOKUP(9755,Gastos[],5,FALSE),"BORRADO")</f>
        <v>BORRADO</v>
      </c>
      <c r="F510" s="41" t="str">
        <f>IFERROR(VLOOKUP(9755,Gastos[],6,FALSE),"BORRADO")</f>
        <v>BORRADO</v>
      </c>
      <c r="G510" s="40" t="str">
        <f>IFERROR(VLOOKUP(9755,Gastos[],7,FALSE),"BORRADO")</f>
        <v>BORRADO</v>
      </c>
      <c r="H510" s="40" t="str">
        <f>IFERROR(VLOOKUP(9755,Gastos[],8,FALSE),"BORRADO")</f>
        <v>BORRADO</v>
      </c>
      <c r="I510" s="40" t="str">
        <f>IFERROR(VLOOKUP(9755,Gastos[],9,FALSE),"BORRADO")</f>
        <v>BORRADO</v>
      </c>
    </row>
    <row r="511" spans="1:9">
      <c r="A511" s="38" t="s">
        <v>355</v>
      </c>
      <c r="B511" s="39" t="str">
        <f>IFERROR(VLOOKUP(9756,Gastos[],2,FALSE),"BORRADO")</f>
        <v>BORRADO</v>
      </c>
      <c r="C511" s="40" t="str">
        <f>IFERROR(VLOOKUP(9756,Gastos[],3,FALSE),"BORRADO")</f>
        <v>BORRADO</v>
      </c>
      <c r="D511" s="41" t="str">
        <f>IFERROR(VLOOKUP(9756,Gastos[],4,FALSE),"BORRADO")</f>
        <v>BORRADO</v>
      </c>
      <c r="E511" s="42" t="str">
        <f>IFERROR(VLOOKUP(9756,Gastos[],5,FALSE),"BORRADO")</f>
        <v>BORRADO</v>
      </c>
      <c r="F511" s="41" t="str">
        <f>IFERROR(VLOOKUP(9756,Gastos[],6,FALSE),"BORRADO")</f>
        <v>BORRADO</v>
      </c>
      <c r="G511" s="40" t="str">
        <f>IFERROR(VLOOKUP(9756,Gastos[],7,FALSE),"BORRADO")</f>
        <v>BORRADO</v>
      </c>
      <c r="H511" s="40" t="str">
        <f>IFERROR(VLOOKUP(9756,Gastos[],8,FALSE),"BORRADO")</f>
        <v>BORRADO</v>
      </c>
      <c r="I511" s="40" t="str">
        <f>IFERROR(VLOOKUP(9756,Gastos[],9,FALSE),"BORRADO")</f>
        <v>BORRADO</v>
      </c>
    </row>
    <row r="512" spans="1:9">
      <c r="A512" s="38" t="s">
        <v>355</v>
      </c>
      <c r="B512" s="39" t="str">
        <f>IFERROR(VLOOKUP(9757,Gastos[],2,FALSE),"BORRADO")</f>
        <v>BORRADO</v>
      </c>
      <c r="C512" s="40" t="str">
        <f>IFERROR(VLOOKUP(9757,Gastos[],3,FALSE),"BORRADO")</f>
        <v>BORRADO</v>
      </c>
      <c r="D512" s="41" t="str">
        <f>IFERROR(VLOOKUP(9757,Gastos[],4,FALSE),"BORRADO")</f>
        <v>BORRADO</v>
      </c>
      <c r="E512" s="42" t="str">
        <f>IFERROR(VLOOKUP(9757,Gastos[],5,FALSE),"BORRADO")</f>
        <v>BORRADO</v>
      </c>
      <c r="F512" s="41" t="str">
        <f>IFERROR(VLOOKUP(9757,Gastos[],6,FALSE),"BORRADO")</f>
        <v>BORRADO</v>
      </c>
      <c r="G512" s="40" t="str">
        <f>IFERROR(VLOOKUP(9757,Gastos[],7,FALSE),"BORRADO")</f>
        <v>BORRADO</v>
      </c>
      <c r="H512" s="40" t="str">
        <f>IFERROR(VLOOKUP(9757,Gastos[],8,FALSE),"BORRADO")</f>
        <v>BORRADO</v>
      </c>
      <c r="I512" s="40" t="str">
        <f>IFERROR(VLOOKUP(9757,Gastos[],9,FALSE),"BORRADO")</f>
        <v>BORRADO</v>
      </c>
    </row>
    <row r="513" spans="1:9">
      <c r="A513" s="38" t="s">
        <v>355</v>
      </c>
      <c r="B513" s="39" t="str">
        <f>IFERROR(VLOOKUP(9758,Gastos[],2,FALSE),"BORRADO")</f>
        <v>BORRADO</v>
      </c>
      <c r="C513" s="40" t="str">
        <f>IFERROR(VLOOKUP(9758,Gastos[],3,FALSE),"BORRADO")</f>
        <v>BORRADO</v>
      </c>
      <c r="D513" s="41" t="str">
        <f>IFERROR(VLOOKUP(9758,Gastos[],4,FALSE),"BORRADO")</f>
        <v>BORRADO</v>
      </c>
      <c r="E513" s="42" t="str">
        <f>IFERROR(VLOOKUP(9758,Gastos[],5,FALSE),"BORRADO")</f>
        <v>BORRADO</v>
      </c>
      <c r="F513" s="41" t="str">
        <f>IFERROR(VLOOKUP(9758,Gastos[],6,FALSE),"BORRADO")</f>
        <v>BORRADO</v>
      </c>
      <c r="G513" s="40" t="str">
        <f>IFERROR(VLOOKUP(9758,Gastos[],7,FALSE),"BORRADO")</f>
        <v>BORRADO</v>
      </c>
      <c r="H513" s="40" t="str">
        <f>IFERROR(VLOOKUP(9758,Gastos[],8,FALSE),"BORRADO")</f>
        <v>BORRADO</v>
      </c>
      <c r="I513" s="40" t="str">
        <f>IFERROR(VLOOKUP(9758,Gastos[],9,FALSE),"BORRADO")</f>
        <v>BORRADO</v>
      </c>
    </row>
    <row r="514" spans="1:9">
      <c r="A514" s="38" t="s">
        <v>355</v>
      </c>
      <c r="B514" s="39" t="str">
        <f>IFERROR(VLOOKUP(9759,Gastos[],2,FALSE),"BORRADO")</f>
        <v>BORRADO</v>
      </c>
      <c r="C514" s="40" t="str">
        <f>IFERROR(VLOOKUP(9759,Gastos[],3,FALSE),"BORRADO")</f>
        <v>BORRADO</v>
      </c>
      <c r="D514" s="41" t="str">
        <f>IFERROR(VLOOKUP(9759,Gastos[],4,FALSE),"BORRADO")</f>
        <v>BORRADO</v>
      </c>
      <c r="E514" s="42" t="str">
        <f>IFERROR(VLOOKUP(9759,Gastos[],5,FALSE),"BORRADO")</f>
        <v>BORRADO</v>
      </c>
      <c r="F514" s="41" t="str">
        <f>IFERROR(VLOOKUP(9759,Gastos[],6,FALSE),"BORRADO")</f>
        <v>BORRADO</v>
      </c>
      <c r="G514" s="40" t="str">
        <f>IFERROR(VLOOKUP(9759,Gastos[],7,FALSE),"BORRADO")</f>
        <v>BORRADO</v>
      </c>
      <c r="H514" s="40" t="str">
        <f>IFERROR(VLOOKUP(9759,Gastos[],8,FALSE),"BORRADO")</f>
        <v>BORRADO</v>
      </c>
      <c r="I514" s="40" t="str">
        <f>IFERROR(VLOOKUP(9759,Gastos[],9,FALSE),"BORRADO")</f>
        <v>BORRADO</v>
      </c>
    </row>
    <row r="515" spans="1:9">
      <c r="A515" s="38" t="s">
        <v>353</v>
      </c>
      <c r="B515" s="39">
        <f>IFERROR(VLOOKUP(2179,Chequeras[],2,FALSE),"BORRADO")</f>
        <v>43019</v>
      </c>
      <c r="C515" s="40" t="str">
        <f>IFERROR(VLOOKUP(2179,Chequeras[],3,FALSE),"BORRADO")</f>
        <v>01670252</v>
      </c>
      <c r="D515" s="41">
        <f>IFERROR(VLOOKUP(2179,Chequeras[],4,FALSE),"BORRADO")</f>
        <v>-4748.6499999999996</v>
      </c>
      <c r="E515" s="42">
        <f>IFERROR(VLOOKUP(2179,Chequeras[],5,FALSE),"BORRADO")</f>
        <v>43019</v>
      </c>
      <c r="F515" s="41">
        <f ca="1">IFERROR(VLOOKUP(2179,Chequeras[],6,FALSE),"BORRADO")</f>
        <v>4631</v>
      </c>
      <c r="G515" s="40" t="str">
        <f>IFERROR(VLOOKUP(2179,Chequeras[],7,FALSE),"BORRADO")</f>
        <v>Repuestos Pesados SRL</v>
      </c>
      <c r="H515" s="40" t="str">
        <f>IFERROR(VLOOKUP(2179,Chequeras[],8,FALSE),"BORRADO")</f>
        <v/>
      </c>
      <c r="I515" s="40">
        <f>IFERROR(VLOOKUP(2179,Chequeras[],9,FALSE),"BORRADO")</f>
        <v>0</v>
      </c>
    </row>
    <row r="516" spans="1:9">
      <c r="A516" s="38" t="s">
        <v>353</v>
      </c>
      <c r="B516" s="39">
        <f>IFERROR(VLOOKUP(2180,Chequeras[],2,FALSE),"BORRADO")</f>
        <v>43019</v>
      </c>
      <c r="C516" s="40" t="str">
        <f>IFERROR(VLOOKUP(2180,Chequeras[],3,FALSE),"BORRADO")</f>
        <v>01670253</v>
      </c>
      <c r="D516" s="41">
        <f>IFERROR(VLOOKUP(2180,Chequeras[],4,FALSE),"BORRADO")</f>
        <v>-1845.25</v>
      </c>
      <c r="E516" s="42">
        <f>IFERROR(VLOOKUP(2180,Chequeras[],5,FALSE),"BORRADO")</f>
        <v>43019</v>
      </c>
      <c r="F516" s="41">
        <f ca="1">IFERROR(VLOOKUP(2180,Chequeras[],6,FALSE),"BORRADO")</f>
        <v>477</v>
      </c>
      <c r="G516" s="40" t="str">
        <f>IFERROR(VLOOKUP(2180,Chequeras[],7,FALSE),"BORRADO")</f>
        <v>El Mundo de Las Herramientas</v>
      </c>
      <c r="H516" s="40" t="str">
        <f>IFERROR(VLOOKUP(2180,Chequeras[],8,FALSE),"BORRADO")</f>
        <v/>
      </c>
      <c r="I516" s="40">
        <f>IFERROR(VLOOKUP(2180,Chequeras[],9,FALSE),"BORRADO")</f>
        <v>0</v>
      </c>
    </row>
    <row r="517" spans="1:9">
      <c r="A517" s="38" t="s">
        <v>355</v>
      </c>
      <c r="B517" s="39" t="str">
        <f>IFERROR(VLOOKUP(9760,Gastos[],2,FALSE),"BORRADO")</f>
        <v>BORRADO</v>
      </c>
      <c r="C517" s="40" t="str">
        <f>IFERROR(VLOOKUP(9760,Gastos[],3,FALSE),"BORRADO")</f>
        <v>BORRADO</v>
      </c>
      <c r="D517" s="41" t="str">
        <f>IFERROR(VLOOKUP(9760,Gastos[],4,FALSE),"BORRADO")</f>
        <v>BORRADO</v>
      </c>
      <c r="E517" s="42" t="str">
        <f>IFERROR(VLOOKUP(9760,Gastos[],5,FALSE),"BORRADO")</f>
        <v>BORRADO</v>
      </c>
      <c r="F517" s="41" t="str">
        <f>IFERROR(VLOOKUP(9760,Gastos[],6,FALSE),"BORRADO")</f>
        <v>BORRADO</v>
      </c>
      <c r="G517" s="40" t="str">
        <f>IFERROR(VLOOKUP(9760,Gastos[],7,FALSE),"BORRADO")</f>
        <v>BORRADO</v>
      </c>
      <c r="H517" s="40" t="str">
        <f>IFERROR(VLOOKUP(9760,Gastos[],8,FALSE),"BORRADO")</f>
        <v>BORRADO</v>
      </c>
      <c r="I517" s="40" t="str">
        <f>IFERROR(VLOOKUP(9760,Gastos[],9,FALSE),"BORRADO")</f>
        <v>BORRADO</v>
      </c>
    </row>
    <row r="518" spans="1:9">
      <c r="A518" s="38" t="s">
        <v>355</v>
      </c>
      <c r="B518" s="39" t="str">
        <f>IFERROR(VLOOKUP(9761,Gastos[],2,FALSE),"BORRADO")</f>
        <v>BORRADO</v>
      </c>
      <c r="C518" s="40" t="str">
        <f>IFERROR(VLOOKUP(9761,Gastos[],3,FALSE),"BORRADO")</f>
        <v>BORRADO</v>
      </c>
      <c r="D518" s="41" t="str">
        <f>IFERROR(VLOOKUP(9761,Gastos[],4,FALSE),"BORRADO")</f>
        <v>BORRADO</v>
      </c>
      <c r="E518" s="42" t="str">
        <f>IFERROR(VLOOKUP(9761,Gastos[],5,FALSE),"BORRADO")</f>
        <v>BORRADO</v>
      </c>
      <c r="F518" s="41" t="str">
        <f>IFERROR(VLOOKUP(9761,Gastos[],6,FALSE),"BORRADO")</f>
        <v>BORRADO</v>
      </c>
      <c r="G518" s="40" t="str">
        <f>IFERROR(VLOOKUP(9761,Gastos[],7,FALSE),"BORRADO")</f>
        <v>BORRADO</v>
      </c>
      <c r="H518" s="40" t="str">
        <f>IFERROR(VLOOKUP(9761,Gastos[],8,FALSE),"BORRADO")</f>
        <v>BORRADO</v>
      </c>
      <c r="I518" s="40" t="str">
        <f>IFERROR(VLOOKUP(9761,Gastos[],9,FALSE),"BORRADO")</f>
        <v>BORRADO</v>
      </c>
    </row>
    <row r="519" spans="1:9">
      <c r="A519" s="38" t="s">
        <v>355</v>
      </c>
      <c r="B519" s="39" t="str">
        <f>IFERROR(VLOOKUP(9762,Gastos[],2,FALSE),"BORRADO")</f>
        <v>BORRADO</v>
      </c>
      <c r="C519" s="40" t="str">
        <f>IFERROR(VLOOKUP(9762,Gastos[],3,FALSE),"BORRADO")</f>
        <v>BORRADO</v>
      </c>
      <c r="D519" s="41" t="str">
        <f>IFERROR(VLOOKUP(9762,Gastos[],4,FALSE),"BORRADO")</f>
        <v>BORRADO</v>
      </c>
      <c r="E519" s="42" t="str">
        <f>IFERROR(VLOOKUP(9762,Gastos[],5,FALSE),"BORRADO")</f>
        <v>BORRADO</v>
      </c>
      <c r="F519" s="41" t="str">
        <f>IFERROR(VLOOKUP(9762,Gastos[],6,FALSE),"BORRADO")</f>
        <v>BORRADO</v>
      </c>
      <c r="G519" s="40" t="str">
        <f>IFERROR(VLOOKUP(9762,Gastos[],7,FALSE),"BORRADO")</f>
        <v>BORRADO</v>
      </c>
      <c r="H519" s="40" t="str">
        <f>IFERROR(VLOOKUP(9762,Gastos[],8,FALSE),"BORRADO")</f>
        <v>BORRADO</v>
      </c>
      <c r="I519" s="40" t="str">
        <f>IFERROR(VLOOKUP(9762,Gastos[],9,FALSE),"BORRADO")</f>
        <v>BORRADO</v>
      </c>
    </row>
    <row r="520" spans="1:9">
      <c r="A520" s="38" t="s">
        <v>355</v>
      </c>
      <c r="B520" s="39" t="str">
        <f>IFERROR(VLOOKUP(9763,Gastos[],2,FALSE),"BORRADO")</f>
        <v>BORRADO</v>
      </c>
      <c r="C520" s="40" t="str">
        <f>IFERROR(VLOOKUP(9763,Gastos[],3,FALSE),"BORRADO")</f>
        <v>BORRADO</v>
      </c>
      <c r="D520" s="41" t="str">
        <f>IFERROR(VLOOKUP(9763,Gastos[],4,FALSE),"BORRADO")</f>
        <v>BORRADO</v>
      </c>
      <c r="E520" s="42" t="str">
        <f>IFERROR(VLOOKUP(9763,Gastos[],5,FALSE),"BORRADO")</f>
        <v>BORRADO</v>
      </c>
      <c r="F520" s="41" t="str">
        <f>IFERROR(VLOOKUP(9763,Gastos[],6,FALSE),"BORRADO")</f>
        <v>BORRADO</v>
      </c>
      <c r="G520" s="40" t="str">
        <f>IFERROR(VLOOKUP(9763,Gastos[],7,FALSE),"BORRADO")</f>
        <v>BORRADO</v>
      </c>
      <c r="H520" s="40" t="str">
        <f>IFERROR(VLOOKUP(9763,Gastos[],8,FALSE),"BORRADO")</f>
        <v>BORRADO</v>
      </c>
      <c r="I520" s="40" t="str">
        <f>IFERROR(VLOOKUP(9763,Gastos[],9,FALSE),"BORRADO")</f>
        <v>BORRADO</v>
      </c>
    </row>
    <row r="521" spans="1:9">
      <c r="A521" s="38" t="s">
        <v>355</v>
      </c>
      <c r="B521" s="39" t="str">
        <f>IFERROR(VLOOKUP(9764,Gastos[],2,FALSE),"BORRADO")</f>
        <v>BORRADO</v>
      </c>
      <c r="C521" s="40" t="str">
        <f>IFERROR(VLOOKUP(9764,Gastos[],3,FALSE),"BORRADO")</f>
        <v>BORRADO</v>
      </c>
      <c r="D521" s="41" t="str">
        <f>IFERROR(VLOOKUP(9764,Gastos[],4,FALSE),"BORRADO")</f>
        <v>BORRADO</v>
      </c>
      <c r="E521" s="42" t="str">
        <f>IFERROR(VLOOKUP(9764,Gastos[],5,FALSE),"BORRADO")</f>
        <v>BORRADO</v>
      </c>
      <c r="F521" s="41" t="str">
        <f>IFERROR(VLOOKUP(9764,Gastos[],6,FALSE),"BORRADO")</f>
        <v>BORRADO</v>
      </c>
      <c r="G521" s="40" t="str">
        <f>IFERROR(VLOOKUP(9764,Gastos[],7,FALSE),"BORRADO")</f>
        <v>BORRADO</v>
      </c>
      <c r="H521" s="40" t="str">
        <f>IFERROR(VLOOKUP(9764,Gastos[],8,FALSE),"BORRADO")</f>
        <v>BORRADO</v>
      </c>
      <c r="I521" s="40" t="str">
        <f>IFERROR(VLOOKUP(9764,Gastos[],9,FALSE),"BORRADO")</f>
        <v>BORRADO</v>
      </c>
    </row>
    <row r="522" spans="1:9">
      <c r="A522" s="38" t="s">
        <v>355</v>
      </c>
      <c r="B522" s="39" t="str">
        <f>IFERROR(VLOOKUP(9765,Gastos[],2,FALSE),"BORRADO")</f>
        <v>BORRADO</v>
      </c>
      <c r="C522" s="40" t="str">
        <f>IFERROR(VLOOKUP(9765,Gastos[],3,FALSE),"BORRADO")</f>
        <v>BORRADO</v>
      </c>
      <c r="D522" s="41" t="str">
        <f>IFERROR(VLOOKUP(9765,Gastos[],4,FALSE),"BORRADO")</f>
        <v>BORRADO</v>
      </c>
      <c r="E522" s="42" t="str">
        <f>IFERROR(VLOOKUP(9765,Gastos[],5,FALSE),"BORRADO")</f>
        <v>BORRADO</v>
      </c>
      <c r="F522" s="41" t="str">
        <f>IFERROR(VLOOKUP(9765,Gastos[],6,FALSE),"BORRADO")</f>
        <v>BORRADO</v>
      </c>
      <c r="G522" s="40" t="str">
        <f>IFERROR(VLOOKUP(9765,Gastos[],7,FALSE),"BORRADO")</f>
        <v>BORRADO</v>
      </c>
      <c r="H522" s="40" t="str">
        <f>IFERROR(VLOOKUP(9765,Gastos[],8,FALSE),"BORRADO")</f>
        <v>BORRADO</v>
      </c>
      <c r="I522" s="40" t="str">
        <f>IFERROR(VLOOKUP(9765,Gastos[],9,FALSE),"BORRADO")</f>
        <v>BORRADO</v>
      </c>
    </row>
    <row r="523" spans="1:9">
      <c r="A523" s="38" t="s">
        <v>355</v>
      </c>
      <c r="B523" s="39" t="str">
        <f>IFERROR(VLOOKUP(9766,Gastos[],2,FALSE),"BORRADO")</f>
        <v>BORRADO</v>
      </c>
      <c r="C523" s="40" t="str">
        <f>IFERROR(VLOOKUP(9766,Gastos[],3,FALSE),"BORRADO")</f>
        <v>BORRADO</v>
      </c>
      <c r="D523" s="41" t="str">
        <f>IFERROR(VLOOKUP(9766,Gastos[],4,FALSE),"BORRADO")</f>
        <v>BORRADO</v>
      </c>
      <c r="E523" s="42" t="str">
        <f>IFERROR(VLOOKUP(9766,Gastos[],5,FALSE),"BORRADO")</f>
        <v>BORRADO</v>
      </c>
      <c r="F523" s="41" t="str">
        <f>IFERROR(VLOOKUP(9766,Gastos[],6,FALSE),"BORRADO")</f>
        <v>BORRADO</v>
      </c>
      <c r="G523" s="40" t="str">
        <f>IFERROR(VLOOKUP(9766,Gastos[],7,FALSE),"BORRADO")</f>
        <v>BORRADO</v>
      </c>
      <c r="H523" s="40" t="str">
        <f>IFERROR(VLOOKUP(9766,Gastos[],8,FALSE),"BORRADO")</f>
        <v>BORRADO</v>
      </c>
      <c r="I523" s="40" t="str">
        <f>IFERROR(VLOOKUP(9766,Gastos[],9,FALSE),"BORRADO")</f>
        <v>BORRADO</v>
      </c>
    </row>
    <row r="524" spans="1:9">
      <c r="A524" s="38" t="s">
        <v>355</v>
      </c>
      <c r="B524" s="39" t="str">
        <f>IFERROR(VLOOKUP(9767,Gastos[],2,FALSE),"BORRADO")</f>
        <v>BORRADO</v>
      </c>
      <c r="C524" s="40" t="str">
        <f>IFERROR(VLOOKUP(9767,Gastos[],3,FALSE),"BORRADO")</f>
        <v>BORRADO</v>
      </c>
      <c r="D524" s="41" t="str">
        <f>IFERROR(VLOOKUP(9767,Gastos[],4,FALSE),"BORRADO")</f>
        <v>BORRADO</v>
      </c>
      <c r="E524" s="42" t="str">
        <f>IFERROR(VLOOKUP(9767,Gastos[],5,FALSE),"BORRADO")</f>
        <v>BORRADO</v>
      </c>
      <c r="F524" s="41" t="str">
        <f>IFERROR(VLOOKUP(9767,Gastos[],6,FALSE),"BORRADO")</f>
        <v>BORRADO</v>
      </c>
      <c r="G524" s="40" t="str">
        <f>IFERROR(VLOOKUP(9767,Gastos[],7,FALSE),"BORRADO")</f>
        <v>BORRADO</v>
      </c>
      <c r="H524" s="40" t="str">
        <f>IFERROR(VLOOKUP(9767,Gastos[],8,FALSE),"BORRADO")</f>
        <v>BORRADO</v>
      </c>
      <c r="I524" s="40" t="str">
        <f>IFERROR(VLOOKUP(9767,Gastos[],9,FALSE),"BORRADO")</f>
        <v>BORRADO</v>
      </c>
    </row>
    <row r="525" spans="1:9">
      <c r="A525" s="38" t="s">
        <v>355</v>
      </c>
      <c r="B525" s="39" t="str">
        <f>IFERROR(VLOOKUP(9768,Gastos[],2,FALSE),"BORRADO")</f>
        <v>BORRADO</v>
      </c>
      <c r="C525" s="40" t="str">
        <f>IFERROR(VLOOKUP(9768,Gastos[],3,FALSE),"BORRADO")</f>
        <v>BORRADO</v>
      </c>
      <c r="D525" s="41" t="str">
        <f>IFERROR(VLOOKUP(9768,Gastos[],4,FALSE),"BORRADO")</f>
        <v>BORRADO</v>
      </c>
      <c r="E525" s="42" t="str">
        <f>IFERROR(VLOOKUP(9768,Gastos[],5,FALSE),"BORRADO")</f>
        <v>BORRADO</v>
      </c>
      <c r="F525" s="41" t="str">
        <f>IFERROR(VLOOKUP(9768,Gastos[],6,FALSE),"BORRADO")</f>
        <v>BORRADO</v>
      </c>
      <c r="G525" s="40" t="str">
        <f>IFERROR(VLOOKUP(9768,Gastos[],7,FALSE),"BORRADO")</f>
        <v>BORRADO</v>
      </c>
      <c r="H525" s="40" t="str">
        <f>IFERROR(VLOOKUP(9768,Gastos[],8,FALSE),"BORRADO")</f>
        <v>BORRADO</v>
      </c>
      <c r="I525" s="40" t="str">
        <f>IFERROR(VLOOKUP(9768,Gastos[],9,FALSE),"BORRADO")</f>
        <v>BORRADO</v>
      </c>
    </row>
    <row r="526" spans="1:9">
      <c r="A526" s="38" t="s">
        <v>355</v>
      </c>
      <c r="B526" s="39" t="str">
        <f>IFERROR(VLOOKUP(9769,Gastos[],2,FALSE),"BORRADO")</f>
        <v>BORRADO</v>
      </c>
      <c r="C526" s="40" t="str">
        <f>IFERROR(VLOOKUP(9769,Gastos[],3,FALSE),"BORRADO")</f>
        <v>BORRADO</v>
      </c>
      <c r="D526" s="41" t="str">
        <f>IFERROR(VLOOKUP(9769,Gastos[],4,FALSE),"BORRADO")</f>
        <v>BORRADO</v>
      </c>
      <c r="E526" s="42" t="str">
        <f>IFERROR(VLOOKUP(9769,Gastos[],5,FALSE),"BORRADO")</f>
        <v>BORRADO</v>
      </c>
      <c r="F526" s="41" t="str">
        <f>IFERROR(VLOOKUP(9769,Gastos[],6,FALSE),"BORRADO")</f>
        <v>BORRADO</v>
      </c>
      <c r="G526" s="40" t="str">
        <f>IFERROR(VLOOKUP(9769,Gastos[],7,FALSE),"BORRADO")</f>
        <v>BORRADO</v>
      </c>
      <c r="H526" s="40" t="str">
        <f>IFERROR(VLOOKUP(9769,Gastos[],8,FALSE),"BORRADO")</f>
        <v>BORRADO</v>
      </c>
      <c r="I526" s="40" t="str">
        <f>IFERROR(VLOOKUP(9769,Gastos[],9,FALSE),"BORRADO")</f>
        <v>BORRADO</v>
      </c>
    </row>
    <row r="527" spans="1:9">
      <c r="A527" s="38" t="s">
        <v>355</v>
      </c>
      <c r="B527" s="39" t="str">
        <f>IFERROR(VLOOKUP(9770,Gastos[],2,FALSE),"BORRADO")</f>
        <v>BORRADO</v>
      </c>
      <c r="C527" s="40" t="str">
        <f>IFERROR(VLOOKUP(9770,Gastos[],3,FALSE),"BORRADO")</f>
        <v>BORRADO</v>
      </c>
      <c r="D527" s="41" t="str">
        <f>IFERROR(VLOOKUP(9770,Gastos[],4,FALSE),"BORRADO")</f>
        <v>BORRADO</v>
      </c>
      <c r="E527" s="42" t="str">
        <f>IFERROR(VLOOKUP(9770,Gastos[],5,FALSE),"BORRADO")</f>
        <v>BORRADO</v>
      </c>
      <c r="F527" s="41" t="str">
        <f>IFERROR(VLOOKUP(9770,Gastos[],6,FALSE),"BORRADO")</f>
        <v>BORRADO</v>
      </c>
      <c r="G527" s="40" t="str">
        <f>IFERROR(VLOOKUP(9770,Gastos[],7,FALSE),"BORRADO")</f>
        <v>BORRADO</v>
      </c>
      <c r="H527" s="40" t="str">
        <f>IFERROR(VLOOKUP(9770,Gastos[],8,FALSE),"BORRADO")</f>
        <v>BORRADO</v>
      </c>
      <c r="I527" s="40" t="str">
        <f>IFERROR(VLOOKUP(9770,Gastos[],9,FALSE),"BORRADO")</f>
        <v>BORRADO</v>
      </c>
    </row>
    <row r="528" spans="1:9">
      <c r="A528" s="38" t="s">
        <v>355</v>
      </c>
      <c r="B528" s="39" t="str">
        <f>IFERROR(VLOOKUP(9771,Gastos[],2,FALSE),"BORRADO")</f>
        <v>BORRADO</v>
      </c>
      <c r="C528" s="40" t="str">
        <f>IFERROR(VLOOKUP(9771,Gastos[],3,FALSE),"BORRADO")</f>
        <v>BORRADO</v>
      </c>
      <c r="D528" s="41" t="str">
        <f>IFERROR(VLOOKUP(9771,Gastos[],4,FALSE),"BORRADO")</f>
        <v>BORRADO</v>
      </c>
      <c r="E528" s="42" t="str">
        <f>IFERROR(VLOOKUP(9771,Gastos[],5,FALSE),"BORRADO")</f>
        <v>BORRADO</v>
      </c>
      <c r="F528" s="41" t="str">
        <f>IFERROR(VLOOKUP(9771,Gastos[],6,FALSE),"BORRADO")</f>
        <v>BORRADO</v>
      </c>
      <c r="G528" s="40" t="str">
        <f>IFERROR(VLOOKUP(9771,Gastos[],7,FALSE),"BORRADO")</f>
        <v>BORRADO</v>
      </c>
      <c r="H528" s="40" t="str">
        <f>IFERROR(VLOOKUP(9771,Gastos[],8,FALSE),"BORRADO")</f>
        <v>BORRADO</v>
      </c>
      <c r="I528" s="40" t="str">
        <f>IFERROR(VLOOKUP(9771,Gastos[],9,FALSE),"BORRADO")</f>
        <v>BORRADO</v>
      </c>
    </row>
    <row r="529" spans="1:9">
      <c r="A529" s="38" t="s">
        <v>355</v>
      </c>
      <c r="B529" s="39" t="str">
        <f>IFERROR(VLOOKUP(9772,Gastos[],2,FALSE),"BORRADO")</f>
        <v>BORRADO</v>
      </c>
      <c r="C529" s="40" t="str">
        <f>IFERROR(VLOOKUP(9772,Gastos[],3,FALSE),"BORRADO")</f>
        <v>BORRADO</v>
      </c>
      <c r="D529" s="41" t="str">
        <f>IFERROR(VLOOKUP(9772,Gastos[],4,FALSE),"BORRADO")</f>
        <v>BORRADO</v>
      </c>
      <c r="E529" s="42" t="str">
        <f>IFERROR(VLOOKUP(9772,Gastos[],5,FALSE),"BORRADO")</f>
        <v>BORRADO</v>
      </c>
      <c r="F529" s="41" t="str">
        <f>IFERROR(VLOOKUP(9772,Gastos[],6,FALSE),"BORRADO")</f>
        <v>BORRADO</v>
      </c>
      <c r="G529" s="40" t="str">
        <f>IFERROR(VLOOKUP(9772,Gastos[],7,FALSE),"BORRADO")</f>
        <v>BORRADO</v>
      </c>
      <c r="H529" s="40" t="str">
        <f>IFERROR(VLOOKUP(9772,Gastos[],8,FALSE),"BORRADO")</f>
        <v>BORRADO</v>
      </c>
      <c r="I529" s="40" t="str">
        <f>IFERROR(VLOOKUP(9772,Gastos[],9,FALSE),"BORRADO")</f>
        <v>BORRADO</v>
      </c>
    </row>
    <row r="530" spans="1:9">
      <c r="A530" s="38" t="s">
        <v>355</v>
      </c>
      <c r="B530" s="39">
        <f>IFERROR(VLOOKUP(9773,Gastos[],2,FALSE),"BORRADO")</f>
        <v>43019</v>
      </c>
      <c r="C530" s="40">
        <f>IFERROR(VLOOKUP(9773,Gastos[],3,FALSE),"BORRADO")</f>
        <v>662</v>
      </c>
      <c r="D530" s="41">
        <f>IFERROR(VLOOKUP(9773,Gastos[],4,FALSE),"BORRADO")</f>
        <v>-213.79</v>
      </c>
      <c r="E530" s="42">
        <f>IFERROR(VLOOKUP(9773,Gastos[],5,FALSE),"BORRADO")</f>
        <v>43019</v>
      </c>
      <c r="F530" s="41">
        <f ca="1">IFERROR(VLOOKUP(9773,Gastos[],6,FALSE),"BORRADO")</f>
        <v>80</v>
      </c>
      <c r="G530" s="40" t="str">
        <f>IFERROR(VLOOKUP(9773,Gastos[],7,FALSE),"BORRADO")</f>
        <v>Impuesto al débito</v>
      </c>
      <c r="H530" s="40" t="str">
        <f>IFERROR(VLOOKUP(9773,Gastos[],8,FALSE),"BORRADO")</f>
        <v>Pago P/Link Cont.Ob.Soc.09/2017</v>
      </c>
      <c r="I530" s="40">
        <f>IFERROR(VLOOKUP(9773,Gastos[],9,FALSE),"BORRADO")</f>
        <v>0</v>
      </c>
    </row>
    <row r="531" spans="1:9">
      <c r="A531" s="38" t="s">
        <v>355</v>
      </c>
      <c r="B531" s="39">
        <f>IFERROR(VLOOKUP(9774,Gastos[],2,FALSE),"BORRADO")</f>
        <v>43019</v>
      </c>
      <c r="C531" s="40">
        <f>IFERROR(VLOOKUP(9774,Gastos[],3,FALSE),"BORRADO")</f>
        <v>835</v>
      </c>
      <c r="D531" s="41">
        <f>IFERROR(VLOOKUP(9774,Gastos[],4,FALSE),"BORRADO")</f>
        <v>-35.630000000000003</v>
      </c>
      <c r="E531" s="42">
        <f>IFERROR(VLOOKUP(9774,Gastos[],5,FALSE),"BORRADO")</f>
        <v>43019</v>
      </c>
      <c r="F531" s="41">
        <f ca="1">IFERROR(VLOOKUP(9774,Gastos[],6,FALSE),"BORRADO")</f>
        <v>33</v>
      </c>
      <c r="G531" s="40" t="str">
        <f>IFERROR(VLOOKUP(9774,Gastos[],7,FALSE),"BORRADO")</f>
        <v>Pago P/Link Int.Res.Cont.Ob.Soc.</v>
      </c>
      <c r="H531" s="40">
        <f>IFERROR(VLOOKUP(9774,Gastos[],8,FALSE),"BORRADO")</f>
        <v>0</v>
      </c>
      <c r="I531" s="40">
        <f>IFERROR(VLOOKUP(9774,Gastos[],9,FALSE),"BORRADO")</f>
        <v>0</v>
      </c>
    </row>
    <row r="532" spans="1:9">
      <c r="A532" s="38" t="s">
        <v>355</v>
      </c>
      <c r="B532" s="39">
        <f>IFERROR(VLOOKUP(9775,Gastos[],2,FALSE),"BORRADO")</f>
        <v>43019</v>
      </c>
      <c r="C532" s="40">
        <f>IFERROR(VLOOKUP(9775,Gastos[],3,FALSE),"BORRADO")</f>
        <v>662</v>
      </c>
      <c r="D532" s="41">
        <f>IFERROR(VLOOKUP(9775,Gastos[],4,FALSE),"BORRADO")</f>
        <v>-0.21</v>
      </c>
      <c r="E532" s="42">
        <f>IFERROR(VLOOKUP(9775,Gastos[],5,FALSE),"BORRADO")</f>
        <v>43019</v>
      </c>
      <c r="F532" s="41">
        <f ca="1">IFERROR(VLOOKUP(9775,Gastos[],6,FALSE),"BORRADO")</f>
        <v>0</v>
      </c>
      <c r="G532" s="40" t="str">
        <f>IFERROR(VLOOKUP(9775,Gastos[],7,FALSE),"BORRADO")</f>
        <v>Impuesto al débito</v>
      </c>
      <c r="H532" s="40" t="str">
        <f>IFERROR(VLOOKUP(9775,Gastos[],8,FALSE),"BORRADO")</f>
        <v>Pago P/Link Int.Res.Cont.Ob.Soc.</v>
      </c>
      <c r="I532" s="40">
        <f>IFERROR(VLOOKUP(9775,Gastos[],9,FALSE),"BORRADO")</f>
        <v>0</v>
      </c>
    </row>
    <row r="533" spans="1:9">
      <c r="A533" s="38" t="s">
        <v>355</v>
      </c>
      <c r="B533" s="39">
        <f>IFERROR(VLOOKUP(9776,Gastos[],2,FALSE),"BORRADO")</f>
        <v>43019</v>
      </c>
      <c r="C533" s="40">
        <f>IFERROR(VLOOKUP(9776,Gastos[],3,FALSE),"BORRADO")</f>
        <v>835</v>
      </c>
      <c r="D533" s="41">
        <f>IFERROR(VLOOKUP(9776,Gastos[],4,FALSE),"BORRADO")</f>
        <v>-50658.26</v>
      </c>
      <c r="E533" s="42">
        <f>IFERROR(VLOOKUP(9776,Gastos[],5,FALSE),"BORRADO")</f>
        <v>43019</v>
      </c>
      <c r="F533" s="41">
        <f ca="1">IFERROR(VLOOKUP(9776,Gastos[],6,FALSE),"BORRADO")</f>
        <v>6828</v>
      </c>
      <c r="G533" s="40" t="str">
        <f>IFERROR(VLOOKUP(9776,Gastos[],7,FALSE),"BORRADO")</f>
        <v>Pago P/Link ART 09/2017</v>
      </c>
      <c r="H533" s="40">
        <f>IFERROR(VLOOKUP(9776,Gastos[],8,FALSE),"BORRADO")</f>
        <v>0</v>
      </c>
      <c r="I533" s="40">
        <f>IFERROR(VLOOKUP(9776,Gastos[],9,FALSE),"BORRADO")</f>
        <v>0</v>
      </c>
    </row>
    <row r="534" spans="1:9">
      <c r="A534" s="38" t="s">
        <v>355</v>
      </c>
      <c r="B534" s="39">
        <f>IFERROR(VLOOKUP(9777,Gastos[],2,FALSE),"BORRADO")</f>
        <v>43019</v>
      </c>
      <c r="C534" s="40">
        <f>IFERROR(VLOOKUP(9777,Gastos[],3,FALSE),"BORRADO")</f>
        <v>662</v>
      </c>
      <c r="D534" s="41">
        <f>IFERROR(VLOOKUP(9777,Gastos[],4,FALSE),"BORRADO")</f>
        <v>-303.95</v>
      </c>
      <c r="E534" s="42">
        <f>IFERROR(VLOOKUP(9777,Gastos[],5,FALSE),"BORRADO")</f>
        <v>43019</v>
      </c>
      <c r="F534" s="41">
        <f ca="1">IFERROR(VLOOKUP(9777,Gastos[],6,FALSE),"BORRADO")</f>
        <v>250</v>
      </c>
      <c r="G534" s="40" t="str">
        <f>IFERROR(VLOOKUP(9777,Gastos[],7,FALSE),"BORRADO")</f>
        <v>Impuesto al débito</v>
      </c>
      <c r="H534" s="40" t="str">
        <f>IFERROR(VLOOKUP(9777,Gastos[],8,FALSE),"BORRADO")</f>
        <v>Pago P/Link ART 09/2017</v>
      </c>
      <c r="I534" s="40">
        <f>IFERROR(VLOOKUP(9777,Gastos[],9,FALSE),"BORRADO")</f>
        <v>0</v>
      </c>
    </row>
    <row r="535" spans="1:9">
      <c r="A535" s="38" t="s">
        <v>355</v>
      </c>
      <c r="B535" s="39">
        <f>IFERROR(VLOOKUP(9778,Gastos[],2,FALSE),"BORRADO")</f>
        <v>43019</v>
      </c>
      <c r="C535" s="40">
        <f>IFERROR(VLOOKUP(9778,Gastos[],3,FALSE),"BORRADO")</f>
        <v>835</v>
      </c>
      <c r="D535" s="41">
        <f>IFERROR(VLOOKUP(9778,Gastos[],4,FALSE),"BORRADO")</f>
        <v>-50.66</v>
      </c>
      <c r="E535" s="42">
        <f>IFERROR(VLOOKUP(9778,Gastos[],5,FALSE),"BORRADO")</f>
        <v>43019</v>
      </c>
      <c r="F535" s="41">
        <f ca="1">IFERROR(VLOOKUP(9778,Gastos[],6,FALSE),"BORRADO")</f>
        <v>22</v>
      </c>
      <c r="G535" s="40" t="str">
        <f>IFERROR(VLOOKUP(9778,Gastos[],7,FALSE),"BORRADO")</f>
        <v>Pago P/Link Int.Res.ART 09/2017</v>
      </c>
      <c r="H535" s="40">
        <f>IFERROR(VLOOKUP(9778,Gastos[],8,FALSE),"BORRADO")</f>
        <v>0</v>
      </c>
      <c r="I535" s="40">
        <f>IFERROR(VLOOKUP(9778,Gastos[],9,FALSE),"BORRADO")</f>
        <v>0</v>
      </c>
    </row>
    <row r="536" spans="1:9">
      <c r="A536" s="38" t="s">
        <v>355</v>
      </c>
      <c r="B536" s="39">
        <f>IFERROR(VLOOKUP(9779,Gastos[],2,FALSE),"BORRADO")</f>
        <v>43019</v>
      </c>
      <c r="C536" s="40">
        <f>IFERROR(VLOOKUP(9779,Gastos[],3,FALSE),"BORRADO")</f>
        <v>662</v>
      </c>
      <c r="D536" s="41">
        <f>IFERROR(VLOOKUP(9779,Gastos[],4,FALSE),"BORRADO")</f>
        <v>-0.3</v>
      </c>
      <c r="E536" s="42">
        <f>IFERROR(VLOOKUP(9779,Gastos[],5,FALSE),"BORRADO")</f>
        <v>43019</v>
      </c>
      <c r="F536" s="41">
        <f ca="1">IFERROR(VLOOKUP(9779,Gastos[],6,FALSE),"BORRADO")</f>
        <v>0</v>
      </c>
      <c r="G536" s="40" t="str">
        <f>IFERROR(VLOOKUP(9779,Gastos[],7,FALSE),"BORRADO")</f>
        <v>Impuesto al débito</v>
      </c>
      <c r="H536" s="40" t="str">
        <f>IFERROR(VLOOKUP(9779,Gastos[],8,FALSE),"BORRADO")</f>
        <v>Pago P/Link Int.Res.ART 09/2017</v>
      </c>
      <c r="I536" s="40">
        <f>IFERROR(VLOOKUP(9779,Gastos[],9,FALSE),"BORRADO")</f>
        <v>0</v>
      </c>
    </row>
    <row r="537" spans="1:9">
      <c r="A537" s="38" t="s">
        <v>355</v>
      </c>
      <c r="B537" s="39">
        <f>IFERROR(VLOOKUP(9780,Gastos[],2,FALSE),"BORRADO")</f>
        <v>43019</v>
      </c>
      <c r="C537" s="40">
        <f>IFERROR(VLOOKUP(9780,Gastos[],3,FALSE),"BORRADO")</f>
        <v>835</v>
      </c>
      <c r="D537" s="41">
        <f>IFERROR(VLOOKUP(9780,Gastos[],4,FALSE),"BORRADO")</f>
        <v>-290.88</v>
      </c>
      <c r="E537" s="42">
        <f>IFERROR(VLOOKUP(9780,Gastos[],5,FALSE),"BORRADO")</f>
        <v>43019</v>
      </c>
      <c r="F537" s="41">
        <f ca="1">IFERROR(VLOOKUP(9780,Gastos[],6,FALSE),"BORRADO")</f>
        <v>157</v>
      </c>
      <c r="G537" s="40" t="str">
        <f>IFERROR(VLOOKUP(9780,Gastos[],7,FALSE),"BORRADO")</f>
        <v>Pago P/Link Seg.Vida Colect.</v>
      </c>
      <c r="H537" s="40">
        <f>IFERROR(VLOOKUP(9780,Gastos[],8,FALSE),"BORRADO")</f>
        <v>0</v>
      </c>
      <c r="I537" s="40">
        <f>IFERROR(VLOOKUP(9780,Gastos[],9,FALSE),"BORRADO")</f>
        <v>0</v>
      </c>
    </row>
    <row r="538" spans="1:9">
      <c r="A538" s="38" t="s">
        <v>355</v>
      </c>
      <c r="B538" s="39">
        <f>IFERROR(VLOOKUP(9781,Gastos[],2,FALSE),"BORRADO")</f>
        <v>43019</v>
      </c>
      <c r="C538" s="40">
        <f>IFERROR(VLOOKUP(9781,Gastos[],3,FALSE),"BORRADO")</f>
        <v>662</v>
      </c>
      <c r="D538" s="41">
        <f>IFERROR(VLOOKUP(9781,Gastos[],4,FALSE),"BORRADO")</f>
        <v>-1.75</v>
      </c>
      <c r="E538" s="42">
        <f>IFERROR(VLOOKUP(9781,Gastos[],5,FALSE),"BORRADO")</f>
        <v>43019</v>
      </c>
      <c r="F538" s="41">
        <f ca="1">IFERROR(VLOOKUP(9781,Gastos[],6,FALSE),"BORRADO")</f>
        <v>1</v>
      </c>
      <c r="G538" s="40" t="str">
        <f>IFERROR(VLOOKUP(9781,Gastos[],7,FALSE),"BORRADO")</f>
        <v>Impuesto al débito</v>
      </c>
      <c r="H538" s="40" t="str">
        <f>IFERROR(VLOOKUP(9781,Gastos[],8,FALSE),"BORRADO")</f>
        <v>Pago P/Link Seg.Vida Colect.</v>
      </c>
      <c r="I538" s="40">
        <f>IFERROR(VLOOKUP(9781,Gastos[],9,FALSE),"BORRADO")</f>
        <v>0</v>
      </c>
    </row>
    <row r="539" spans="1:9">
      <c r="A539" s="38" t="s">
        <v>355</v>
      </c>
      <c r="B539" s="39">
        <f>IFERROR(VLOOKUP(9782,Gastos[],2,FALSE),"BORRADO")</f>
        <v>43019</v>
      </c>
      <c r="C539" s="40">
        <f>IFERROR(VLOOKUP(9782,Gastos[],3,FALSE),"BORRADO")</f>
        <v>662</v>
      </c>
      <c r="D539" s="41">
        <f>IFERROR(VLOOKUP(9782,Gastos[],4,FALSE),"BORRADO")</f>
        <v>-492.9</v>
      </c>
      <c r="E539" s="42">
        <f>IFERROR(VLOOKUP(9782,Gastos[],5,FALSE),"BORRADO")</f>
        <v>43019</v>
      </c>
      <c r="F539" s="41">
        <f ca="1">IFERROR(VLOOKUP(9782,Gastos[],6,FALSE),"BORRADO")</f>
        <v>84</v>
      </c>
      <c r="G539" s="40" t="str">
        <f>IFERROR(VLOOKUP(9782,Gastos[],7,FALSE),"BORRADO")</f>
        <v>Impuesto al débito</v>
      </c>
      <c r="H539" s="40" t="str">
        <f>IFERROR(VLOOKUP(9782,Gastos[],8,FALSE),"BORRADO")</f>
        <v>s/ch. 01656244</v>
      </c>
      <c r="I539" s="40">
        <f>IFERROR(VLOOKUP(9782,Gastos[],9,FALSE),"BORRADO")</f>
        <v>0</v>
      </c>
    </row>
    <row r="540" spans="1:9">
      <c r="A540" s="38" t="s">
        <v>355</v>
      </c>
      <c r="B540" s="39">
        <f>IFERROR(VLOOKUP(9783,Gastos[],2,FALSE),"BORRADO")</f>
        <v>43019</v>
      </c>
      <c r="C540" s="40">
        <f>IFERROR(VLOOKUP(9783,Gastos[],3,FALSE),"BORRADO")</f>
        <v>662</v>
      </c>
      <c r="D540" s="41">
        <f>IFERROR(VLOOKUP(9783,Gastos[],4,FALSE),"BORRADO")</f>
        <v>-22.3</v>
      </c>
      <c r="E540" s="42">
        <f>IFERROR(VLOOKUP(9783,Gastos[],5,FALSE),"BORRADO")</f>
        <v>43019</v>
      </c>
      <c r="F540" s="41">
        <f ca="1">IFERROR(VLOOKUP(9783,Gastos[],6,FALSE),"BORRADO")</f>
        <v>9</v>
      </c>
      <c r="G540" s="40" t="str">
        <f>IFERROR(VLOOKUP(9783,Gastos[],7,FALSE),"BORRADO")</f>
        <v>Impuesto al débito</v>
      </c>
      <c r="H540" s="40" t="str">
        <f>IFERROR(VLOOKUP(9783,Gastos[],8,FALSE),"BORRADO")</f>
        <v>s/ch. 01670187</v>
      </c>
      <c r="I540" s="40">
        <f>IFERROR(VLOOKUP(9783,Gastos[],9,FALSE),"BORRADO")</f>
        <v>0</v>
      </c>
    </row>
    <row r="541" spans="1:9">
      <c r="A541" s="38" t="s">
        <v>355</v>
      </c>
      <c r="B541" s="39">
        <f>IFERROR(VLOOKUP(9784,Gastos[],2,FALSE),"BORRADO")</f>
        <v>43019</v>
      </c>
      <c r="C541" s="40">
        <f>IFERROR(VLOOKUP(9784,Gastos[],3,FALSE),"BORRADO")</f>
        <v>662</v>
      </c>
      <c r="D541" s="41">
        <f>IFERROR(VLOOKUP(9784,Gastos[],4,FALSE),"BORRADO")</f>
        <v>-84</v>
      </c>
      <c r="E541" s="42">
        <f>IFERROR(VLOOKUP(9784,Gastos[],5,FALSE),"BORRADO")</f>
        <v>43019</v>
      </c>
      <c r="F541" s="41">
        <f ca="1">IFERROR(VLOOKUP(9784,Gastos[],6,FALSE),"BORRADO")</f>
        <v>7</v>
      </c>
      <c r="G541" s="40" t="str">
        <f>IFERROR(VLOOKUP(9784,Gastos[],7,FALSE),"BORRADO")</f>
        <v>Impuesto al débito</v>
      </c>
      <c r="H541" s="40" t="str">
        <f>IFERROR(VLOOKUP(9784,Gastos[],8,FALSE),"BORRADO")</f>
        <v xml:space="preserve">s/ch. </v>
      </c>
      <c r="I541" s="40">
        <f>IFERROR(VLOOKUP(9784,Gastos[],9,FALSE),"BORRADO")</f>
        <v>0</v>
      </c>
    </row>
    <row r="542" spans="1:9">
      <c r="A542" s="38" t="s">
        <v>354</v>
      </c>
      <c r="B542" s="39">
        <f>IFERROR(VLOOKUP(3214,Depositos[],2,FALSE),"BORRADO")</f>
        <v>43019</v>
      </c>
      <c r="C542" s="40" t="str">
        <f>IFERROR(VLOOKUP(3214,Depositos[],3,FALSE),"BORRADO")</f>
        <v>RR CHEQUE</v>
      </c>
      <c r="D542" s="41">
        <f>IFERROR(VLOOKUP(3214,Depositos[],4,FALSE),"BORRADO")</f>
        <v>423000</v>
      </c>
      <c r="E542" s="42">
        <f>IFERROR(VLOOKUP(3214,Depositos[],5,FALSE),"BORRADO")</f>
        <v>43020</v>
      </c>
      <c r="F542" s="41">
        <f ca="1">IFERROR(VLOOKUP(3214,Depositos[],6,FALSE),"BORRADO")</f>
        <v>14119</v>
      </c>
      <c r="G542" s="40" t="str">
        <f>IFERROR(VLOOKUP(3214,Depositos[],7,FALSE),"BORRADO")</f>
        <v>MACRO 76349687 TRAME / RR</v>
      </c>
      <c r="H542" s="40">
        <f>IFERROR(VLOOKUP(3214,Depositos[],8,FALSE),"BORRADO")</f>
        <v>0</v>
      </c>
      <c r="I542" s="40">
        <f>IFERROR(VLOOKUP(3214,Depositos[],9,FALSE),"BORRADO")</f>
        <v>0</v>
      </c>
    </row>
    <row r="543" spans="1:9">
      <c r="A543" s="38" t="s">
        <v>354</v>
      </c>
      <c r="B543" s="39">
        <f>IFERROR(VLOOKUP(3215,Depositos[],2,FALSE),"BORRADO")</f>
        <v>43019</v>
      </c>
      <c r="C543" s="40" t="str">
        <f>IFERROR(VLOOKUP(3215,Depositos[],3,FALSE),"BORRADO")</f>
        <v>RR CHEQUE</v>
      </c>
      <c r="D543" s="41">
        <f>IFERROR(VLOOKUP(3215,Depositos[],4,FALSE),"BORRADO")</f>
        <v>237500</v>
      </c>
      <c r="E543" s="42">
        <f>IFERROR(VLOOKUP(3215,Depositos[],5,FALSE),"BORRADO")</f>
        <v>43020</v>
      </c>
      <c r="F543" s="41">
        <f ca="1">IFERROR(VLOOKUP(3215,Depositos[],6,FALSE),"BORRADO")</f>
        <v>32162</v>
      </c>
      <c r="G543" s="40" t="str">
        <f>IFERROR(VLOOKUP(3215,Depositos[],7,FALSE),"BORRADO")</f>
        <v>MACRO 51681472</v>
      </c>
      <c r="H543" s="40">
        <f>IFERROR(VLOOKUP(3215,Depositos[],8,FALSE),"BORRADO")</f>
        <v>0</v>
      </c>
      <c r="I543" s="40">
        <f>IFERROR(VLOOKUP(3215,Depositos[],9,FALSE),"BORRADO")</f>
        <v>0</v>
      </c>
    </row>
    <row r="544" spans="1:9">
      <c r="A544" s="38" t="s">
        <v>354</v>
      </c>
      <c r="B544" s="39">
        <f>IFERROR(VLOOKUP(3216,Depositos[],2,FALSE),"BORRADO")</f>
        <v>43019</v>
      </c>
      <c r="C544" s="40" t="str">
        <f>IFERROR(VLOOKUP(3216,Depositos[],3,FALSE),"BORRADO")</f>
        <v>RR CHEQUE</v>
      </c>
      <c r="D544" s="41">
        <f>IFERROR(VLOOKUP(3216,Depositos[],4,FALSE),"BORRADO")</f>
        <v>57751.02</v>
      </c>
      <c r="E544" s="42">
        <f>IFERROR(VLOOKUP(3216,Depositos[],5,FALSE),"BORRADO")</f>
        <v>43020</v>
      </c>
      <c r="F544" s="41">
        <f ca="1">IFERROR(VLOOKUP(3216,Depositos[],6,FALSE),"BORRADO")</f>
        <v>33204</v>
      </c>
      <c r="G544" s="40" t="str">
        <f>IFERROR(VLOOKUP(3216,Depositos[],7,FALSE),"BORRADO")</f>
        <v>INDUSTRIAL 12756969</v>
      </c>
      <c r="H544" s="40">
        <f>IFERROR(VLOOKUP(3216,Depositos[],8,FALSE),"BORRADO")</f>
        <v>0</v>
      </c>
      <c r="I544" s="40">
        <f>IFERROR(VLOOKUP(3216,Depositos[],9,FALSE),"BORRADO")</f>
        <v>0</v>
      </c>
    </row>
    <row r="545" spans="1:9">
      <c r="A545" s="38" t="s">
        <v>354</v>
      </c>
      <c r="B545" s="39">
        <f>IFERROR(VLOOKUP(3217,Depositos[],2,FALSE),"BORRADO")</f>
        <v>43019</v>
      </c>
      <c r="C545" s="40" t="str">
        <f>IFERROR(VLOOKUP(3217,Depositos[],3,FALSE),"BORRADO")</f>
        <v>RR CHEQUE</v>
      </c>
      <c r="D545" s="41">
        <f>IFERROR(VLOOKUP(3217,Depositos[],4,FALSE),"BORRADO")</f>
        <v>11921.8</v>
      </c>
      <c r="E545" s="42">
        <f>IFERROR(VLOOKUP(3217,Depositos[],5,FALSE),"BORRADO")</f>
        <v>43020</v>
      </c>
      <c r="F545" s="41">
        <f ca="1">IFERROR(VLOOKUP(3217,Depositos[],6,FALSE),"BORRADO")</f>
        <v>1491</v>
      </c>
      <c r="G545" s="40" t="str">
        <f>IFERROR(VLOOKUP(3217,Depositos[],7,FALSE),"BORRADO")</f>
        <v>INDUSTRIAL 13218032</v>
      </c>
      <c r="H545" s="40">
        <f>IFERROR(VLOOKUP(3217,Depositos[],8,FALSE),"BORRADO")</f>
        <v>0</v>
      </c>
      <c r="I545" s="40">
        <f>IFERROR(VLOOKUP(3217,Depositos[],9,FALSE),"BORRADO")</f>
        <v>0</v>
      </c>
    </row>
    <row r="546" spans="1:9">
      <c r="A546" s="38" t="s">
        <v>354</v>
      </c>
      <c r="B546" s="39">
        <f>IFERROR(VLOOKUP(3218,Depositos[],2,FALSE),"BORRADO")</f>
        <v>43019</v>
      </c>
      <c r="C546" s="40" t="str">
        <f>IFERROR(VLOOKUP(3218,Depositos[],3,FALSE),"BORRADO")</f>
        <v>RR CHEQUE</v>
      </c>
      <c r="D546" s="41">
        <f>IFERROR(VLOOKUP(3218,Depositos[],4,FALSE),"BORRADO")</f>
        <v>71085.289999999994</v>
      </c>
      <c r="E546" s="42">
        <f>IFERROR(VLOOKUP(3218,Depositos[],5,FALSE),"BORRADO")</f>
        <v>43020</v>
      </c>
      <c r="F546" s="41">
        <f ca="1">IFERROR(VLOOKUP(3218,Depositos[],6,FALSE),"BORRADO")</f>
        <v>51904</v>
      </c>
      <c r="G546" s="40" t="str">
        <f>IFERROR(VLOOKUP(3218,Depositos[],7,FALSE),"BORRADO")</f>
        <v>MACRO 33335411</v>
      </c>
      <c r="H546" s="40">
        <f>IFERROR(VLOOKUP(3218,Depositos[],8,FALSE),"BORRADO")</f>
        <v>0</v>
      </c>
      <c r="I546" s="40">
        <f>IFERROR(VLOOKUP(3218,Depositos[],9,FALSE),"BORRADO")</f>
        <v>0</v>
      </c>
    </row>
    <row r="547" spans="1:9">
      <c r="A547" s="38" t="s">
        <v>353</v>
      </c>
      <c r="B547" s="39">
        <f>IFERROR(VLOOKUP(2182,Chequeras[],2,FALSE),"BORRADO")</f>
        <v>43019</v>
      </c>
      <c r="C547" s="40" t="str">
        <f>IFERROR(VLOOKUP(2182,Chequeras[],3,FALSE),"BORRADO")</f>
        <v>01670255</v>
      </c>
      <c r="D547" s="41">
        <f>IFERROR(VLOOKUP(2182,Chequeras[],4,FALSE),"BORRADO")</f>
        <v>-44740.5</v>
      </c>
      <c r="E547" s="42">
        <f>IFERROR(VLOOKUP(2182,Chequeras[],5,FALSE),"BORRADO")</f>
        <v>43021</v>
      </c>
      <c r="F547" s="41">
        <f ca="1">IFERROR(VLOOKUP(2182,Chequeras[],6,FALSE),"BORRADO")</f>
        <v>41189</v>
      </c>
      <c r="G547" s="40" t="str">
        <f>IFERROR(VLOOKUP(2182,Chequeras[],7,FALSE),"BORRADO")</f>
        <v>Sind.Camioneros 12/10/2017</v>
      </c>
      <c r="H547" s="40" t="str">
        <f>IFERROR(VLOOKUP(2182,Chequeras[],8,FALSE),"BORRADO")</f>
        <v/>
      </c>
      <c r="I547" s="40">
        <f>IFERROR(VLOOKUP(2182,Chequeras[],9,FALSE),"BORRADO")</f>
        <v>0</v>
      </c>
    </row>
    <row r="548" spans="1:9">
      <c r="A548" s="38" t="s">
        <v>353</v>
      </c>
      <c r="B548" s="39">
        <f>IFERROR(VLOOKUP(2183,Chequeras[],2,FALSE),"BORRADO")</f>
        <v>43019</v>
      </c>
      <c r="C548" s="40" t="str">
        <f>IFERROR(VLOOKUP(2183,Chequeras[],3,FALSE),"BORRADO")</f>
        <v>01670256</v>
      </c>
      <c r="D548" s="41">
        <f>IFERROR(VLOOKUP(2183,Chequeras[],4,FALSE),"BORRADO")</f>
        <v>-17207.89</v>
      </c>
      <c r="E548" s="42">
        <f>IFERROR(VLOOKUP(2183,Chequeras[],5,FALSE),"BORRADO")</f>
        <v>43021</v>
      </c>
      <c r="F548" s="41">
        <f ca="1">IFERROR(VLOOKUP(2183,Chequeras[],6,FALSE),"BORRADO")</f>
        <v>9759</v>
      </c>
      <c r="G548" s="40" t="str">
        <f>IFERROR(VLOOKUP(2183,Chequeras[],7,FALSE),"BORRADO")</f>
        <v>Federac.Camioneros 12/10/2017</v>
      </c>
      <c r="H548" s="40" t="str">
        <f>IFERROR(VLOOKUP(2183,Chequeras[],8,FALSE),"BORRADO")</f>
        <v/>
      </c>
      <c r="I548" s="40">
        <f>IFERROR(VLOOKUP(2183,Chequeras[],9,FALSE),"BORRADO")</f>
        <v>0</v>
      </c>
    </row>
    <row r="549" spans="1:9">
      <c r="A549" s="38" t="s">
        <v>353</v>
      </c>
      <c r="B549" s="39">
        <f>IFERROR(VLOOKUP(2181,Chequeras[],2,FALSE),"BORRADO")</f>
        <v>43019</v>
      </c>
      <c r="C549" s="40" t="str">
        <f>IFERROR(VLOOKUP(2181,Chequeras[],3,FALSE),"BORRADO")</f>
        <v>01670254</v>
      </c>
      <c r="D549" s="41">
        <f>IFERROR(VLOOKUP(2181,Chequeras[],4,FALSE),"BORRADO")</f>
        <v>-7597.49</v>
      </c>
      <c r="E549" s="42">
        <f>IFERROR(VLOOKUP(2181,Chequeras[],5,FALSE),"BORRADO")</f>
        <v>43029</v>
      </c>
      <c r="F549" s="41">
        <f ca="1">IFERROR(VLOOKUP(2181,Chequeras[],6,FALSE),"BORRADO")</f>
        <v>583</v>
      </c>
      <c r="G549" s="40" t="str">
        <f>IFERROR(VLOOKUP(2181,Chequeras[],7,FALSE),"BORRADO")</f>
        <v>Jujuy Hierros SA</v>
      </c>
      <c r="H549" s="40" t="str">
        <f>IFERROR(VLOOKUP(2181,Chequeras[],8,FALSE),"BORRADO")</f>
        <v/>
      </c>
      <c r="I549" s="40">
        <f>IFERROR(VLOOKUP(2181,Chequeras[],9,FALSE),"BORRADO")</f>
        <v>0</v>
      </c>
    </row>
    <row r="550" spans="1:9">
      <c r="A550" s="38" t="s">
        <v>353</v>
      </c>
      <c r="B550" s="39">
        <f>IFERROR(VLOOKUP(2178,Chequeras[],2,FALSE),"BORRADO")</f>
        <v>43019</v>
      </c>
      <c r="C550" s="40" t="str">
        <f>IFERROR(VLOOKUP(2178,Chequeras[],3,FALSE),"BORRADO")</f>
        <v>01670251</v>
      </c>
      <c r="D550" s="41">
        <f>IFERROR(VLOOKUP(2178,Chequeras[],4,FALSE),"BORRADO")</f>
        <v>-2380.5500000000002</v>
      </c>
      <c r="E550" s="42">
        <f>IFERROR(VLOOKUP(2178,Chequeras[],5,FALSE),"BORRADO")</f>
        <v>43039</v>
      </c>
      <c r="F550" s="41">
        <f ca="1">IFERROR(VLOOKUP(2178,Chequeras[],6,FALSE),"BORRADO")</f>
        <v>162</v>
      </c>
      <c r="G550" s="40" t="str">
        <f>IFERROR(VLOOKUP(2178,Chequeras[],7,FALSE),"BORRADO")</f>
        <v>Colornet SRL</v>
      </c>
      <c r="H550" s="40" t="str">
        <f>IFERROR(VLOOKUP(2178,Chequeras[],8,FALSE),"BORRADO")</f>
        <v/>
      </c>
      <c r="I550" s="40">
        <f>IFERROR(VLOOKUP(2178,Chequeras[],9,FALSE),"BORRADO")</f>
        <v>0</v>
      </c>
    </row>
    <row r="551" spans="1:9">
      <c r="A551" s="38" t="s">
        <v>353</v>
      </c>
      <c r="B551" s="39">
        <f>IFERROR(VLOOKUP(2171,Chequeras[],2,FALSE),"BORRADO")</f>
        <v>43019</v>
      </c>
      <c r="C551" s="40" t="str">
        <f>IFERROR(VLOOKUP(2171,Chequeras[],3,FALSE),"BORRADO")</f>
        <v>01670244</v>
      </c>
      <c r="D551" s="41">
        <f>IFERROR(VLOOKUP(2171,Chequeras[],4,FALSE),"BORRADO")</f>
        <v>-20000</v>
      </c>
      <c r="E551" s="42">
        <f>IFERROR(VLOOKUP(2171,Chequeras[],5,FALSE),"BORRADO")</f>
        <v>43044</v>
      </c>
      <c r="F551" s="41">
        <f ca="1">IFERROR(VLOOKUP(2171,Chequeras[],6,FALSE),"BORRADO")</f>
        <v>3806</v>
      </c>
      <c r="G551" s="40" t="str">
        <f>IFERROR(VLOOKUP(2171,Chequeras[],7,FALSE),"BORRADO")</f>
        <v>Diesel Jujuy SRL</v>
      </c>
      <c r="H551" s="40" t="str">
        <f>IFERROR(VLOOKUP(2171,Chequeras[],8,FALSE),"BORRADO")</f>
        <v/>
      </c>
      <c r="I551" s="40">
        <f>IFERROR(VLOOKUP(2171,Chequeras[],9,FALSE),"BORRADO")</f>
        <v>0</v>
      </c>
    </row>
    <row r="552" spans="1:9">
      <c r="A552" s="38" t="s">
        <v>353</v>
      </c>
      <c r="B552" s="39">
        <f>IFERROR(VLOOKUP(2184,Chequeras[],2,FALSE),"BORRADO")</f>
        <v>43019</v>
      </c>
      <c r="C552" s="40" t="str">
        <f>IFERROR(VLOOKUP(2184,Chequeras[],3,FALSE),"BORRADO")</f>
        <v>01670257</v>
      </c>
      <c r="D552" s="41">
        <f>IFERROR(VLOOKUP(2184,Chequeras[],4,FALSE),"BORRADO")</f>
        <v>-164847.37</v>
      </c>
      <c r="E552" s="42">
        <f>IFERROR(VLOOKUP(2184,Chequeras[],5,FALSE),"BORRADO")</f>
        <v>43044</v>
      </c>
      <c r="F552" s="41">
        <f ca="1">IFERROR(VLOOKUP(2184,Chequeras[],6,FALSE),"BORRADO")</f>
        <v>122426</v>
      </c>
      <c r="G552" s="40" t="str">
        <f>IFERROR(VLOOKUP(2184,Chequeras[],7,FALSE),"BORRADO")</f>
        <v>Vialtec SA</v>
      </c>
      <c r="H552" s="40" t="str">
        <f>IFERROR(VLOOKUP(2184,Chequeras[],8,FALSE),"BORRADO")</f>
        <v/>
      </c>
      <c r="I552" s="40">
        <f>IFERROR(VLOOKUP(2184,Chequeras[],9,FALSE),"BORRADO")</f>
        <v>0</v>
      </c>
    </row>
    <row r="553" spans="1:9">
      <c r="A553" s="38" t="s">
        <v>353</v>
      </c>
      <c r="B553" s="39">
        <f>IFERROR(VLOOKUP(2174,Chequeras[],2,FALSE),"BORRADO")</f>
        <v>43019</v>
      </c>
      <c r="C553" s="40" t="str">
        <f>IFERROR(VLOOKUP(2174,Chequeras[],3,FALSE),"BORRADO")</f>
        <v>01670247</v>
      </c>
      <c r="D553" s="41">
        <f>IFERROR(VLOOKUP(2174,Chequeras[],4,FALSE),"BORRADO")</f>
        <v>-12000</v>
      </c>
      <c r="E553" s="42">
        <f>IFERROR(VLOOKUP(2174,Chequeras[],5,FALSE),"BORRADO")</f>
        <v>43049</v>
      </c>
      <c r="F553" s="41">
        <f ca="1">IFERROR(VLOOKUP(2174,Chequeras[],6,FALSE),"BORRADO")</f>
        <v>8247</v>
      </c>
      <c r="G553" s="40" t="str">
        <f>IFERROR(VLOOKUP(2174,Chequeras[],7,FALSE),"BORRADO")</f>
        <v>Pioli Edi del Valle</v>
      </c>
      <c r="H553" s="40" t="str">
        <f>IFERROR(VLOOKUP(2174,Chequeras[],8,FALSE),"BORRADO")</f>
        <v/>
      </c>
      <c r="I553" s="40">
        <f>IFERROR(VLOOKUP(2174,Chequeras[],9,FALSE),"BORRADO")</f>
        <v>0</v>
      </c>
    </row>
    <row r="554" spans="1:9">
      <c r="A554" s="38" t="s">
        <v>353</v>
      </c>
      <c r="B554" s="39">
        <f>IFERROR(VLOOKUP(2170,Chequeras[],2,FALSE),"BORRADO")</f>
        <v>43019</v>
      </c>
      <c r="C554" s="40" t="str">
        <f>IFERROR(VLOOKUP(2170,Chequeras[],3,FALSE),"BORRADO")</f>
        <v>01670243</v>
      </c>
      <c r="D554" s="41">
        <f>IFERROR(VLOOKUP(2170,Chequeras[],4,FALSE),"BORRADO")</f>
        <v>-8078.2</v>
      </c>
      <c r="E554" s="42">
        <f>IFERROR(VLOOKUP(2170,Chequeras[],5,FALSE),"BORRADO")</f>
        <v>43050</v>
      </c>
      <c r="F554" s="41">
        <f ca="1">IFERROR(VLOOKUP(2170,Chequeras[],6,FALSE),"BORRADO")</f>
        <v>1991</v>
      </c>
      <c r="G554" s="40" t="str">
        <f>IFERROR(VLOOKUP(2170,Chequeras[],7,FALSE),"BORRADO")</f>
        <v>Alberti Gonzalez Adolfo</v>
      </c>
      <c r="H554" s="40" t="str">
        <f>IFERROR(VLOOKUP(2170,Chequeras[],8,FALSE),"BORRADO")</f>
        <v/>
      </c>
      <c r="I554" s="40">
        <f>IFERROR(VLOOKUP(2170,Chequeras[],9,FALSE),"BORRADO")</f>
        <v>0</v>
      </c>
    </row>
    <row r="555" spans="1:9">
      <c r="A555" s="38" t="s">
        <v>353</v>
      </c>
      <c r="B555" s="39">
        <f>IFERROR(VLOOKUP(2172,Chequeras[],2,FALSE),"BORRADO")</f>
        <v>43019</v>
      </c>
      <c r="C555" s="40" t="str">
        <f>IFERROR(VLOOKUP(2172,Chequeras[],3,FALSE),"BORRADO")</f>
        <v>01670245</v>
      </c>
      <c r="D555" s="41">
        <f>IFERROR(VLOOKUP(2172,Chequeras[],4,FALSE),"BORRADO")</f>
        <v>-27106.52</v>
      </c>
      <c r="E555" s="42">
        <f>IFERROR(VLOOKUP(2172,Chequeras[],5,FALSE),"BORRADO")</f>
        <v>43054</v>
      </c>
      <c r="F555" s="41">
        <f ca="1">IFERROR(VLOOKUP(2172,Chequeras[],6,FALSE),"BORRADO")</f>
        <v>3960</v>
      </c>
      <c r="G555" s="40" t="str">
        <f>IFERROR(VLOOKUP(2172,Chequeras[],7,FALSE),"BORRADO")</f>
        <v>Diesel Jujuy SRL</v>
      </c>
      <c r="H555" s="40" t="str">
        <f>IFERROR(VLOOKUP(2172,Chequeras[],8,FALSE),"BORRADO")</f>
        <v/>
      </c>
      <c r="I555" s="40">
        <f>IFERROR(VLOOKUP(2172,Chequeras[],9,FALSE),"BORRADO")</f>
        <v>0</v>
      </c>
    </row>
    <row r="556" spans="1:9">
      <c r="A556" s="38" t="s">
        <v>353</v>
      </c>
      <c r="B556" s="39">
        <f>IFERROR(VLOOKUP(2185,Chequeras[],2,FALSE),"BORRADO")</f>
        <v>43019</v>
      </c>
      <c r="C556" s="40" t="str">
        <f>IFERROR(VLOOKUP(2185,Chequeras[],3,FALSE),"BORRADO")</f>
        <v>01670258</v>
      </c>
      <c r="D556" s="41">
        <f>IFERROR(VLOOKUP(2185,Chequeras[],4,FALSE),"BORRADO")</f>
        <v>-164847.37</v>
      </c>
      <c r="E556" s="42">
        <f>IFERROR(VLOOKUP(2185,Chequeras[],5,FALSE),"BORRADO")</f>
        <v>43054</v>
      </c>
      <c r="F556" s="41">
        <f ca="1">IFERROR(VLOOKUP(2185,Chequeras[],6,FALSE),"BORRADO")</f>
        <v>163500</v>
      </c>
      <c r="G556" s="40" t="str">
        <f>IFERROR(VLOOKUP(2185,Chequeras[],7,FALSE),"BORRADO")</f>
        <v>Vialtec SA</v>
      </c>
      <c r="H556" s="40" t="str">
        <f>IFERROR(VLOOKUP(2185,Chequeras[],8,FALSE),"BORRADO")</f>
        <v/>
      </c>
      <c r="I556" s="40">
        <f>IFERROR(VLOOKUP(2185,Chequeras[],9,FALSE),"BORRADO")</f>
        <v>0</v>
      </c>
    </row>
    <row r="557" spans="1:9">
      <c r="A557" s="38" t="s">
        <v>353</v>
      </c>
      <c r="B557" s="39">
        <f>IFERROR(VLOOKUP(2173,Chequeras[],2,FALSE),"BORRADO")</f>
        <v>43019</v>
      </c>
      <c r="C557" s="40" t="str">
        <f>IFERROR(VLOOKUP(2173,Chequeras[],3,FALSE),"BORRADO")</f>
        <v>01670246</v>
      </c>
      <c r="D557" s="41">
        <f>IFERROR(VLOOKUP(2173,Chequeras[],4,FALSE),"BORRADO")</f>
        <v>-7520.69</v>
      </c>
      <c r="E557" s="42">
        <f>IFERROR(VLOOKUP(2173,Chequeras[],5,FALSE),"BORRADO")</f>
        <v>43059</v>
      </c>
      <c r="F557" s="41">
        <f ca="1">IFERROR(VLOOKUP(2173,Chequeras[],6,FALSE),"BORRADO")</f>
        <v>5547</v>
      </c>
      <c r="G557" s="40" t="str">
        <f>IFERROR(VLOOKUP(2173,Chequeras[],7,FALSE),"BORRADO")</f>
        <v>Lombardi Camiones SA</v>
      </c>
      <c r="H557" s="40" t="str">
        <f>IFERROR(VLOOKUP(2173,Chequeras[],8,FALSE),"BORRADO")</f>
        <v/>
      </c>
      <c r="I557" s="40">
        <f>IFERROR(VLOOKUP(2173,Chequeras[],9,FALSE),"BORRADO")</f>
        <v>0</v>
      </c>
    </row>
    <row r="558" spans="1:9">
      <c r="A558" s="38" t="s">
        <v>353</v>
      </c>
      <c r="B558" s="39">
        <f>IFERROR(VLOOKUP(2186,Chequeras[],2,FALSE),"BORRADO")</f>
        <v>43019</v>
      </c>
      <c r="C558" s="40" t="str">
        <f>IFERROR(VLOOKUP(2186,Chequeras[],3,FALSE),"BORRADO")</f>
        <v>01670259</v>
      </c>
      <c r="D558" s="41">
        <f>IFERROR(VLOOKUP(2186,Chequeras[],4,FALSE),"BORRADO")</f>
        <v>-164847.37</v>
      </c>
      <c r="E558" s="42">
        <f>IFERROR(VLOOKUP(2186,Chequeras[],5,FALSE),"BORRADO")</f>
        <v>43059</v>
      </c>
      <c r="F558" s="41">
        <f ca="1">IFERROR(VLOOKUP(2186,Chequeras[],6,FALSE),"BORRADO")</f>
        <v>86041</v>
      </c>
      <c r="G558" s="40" t="str">
        <f>IFERROR(VLOOKUP(2186,Chequeras[],7,FALSE),"BORRADO")</f>
        <v>Vialtec SA</v>
      </c>
      <c r="H558" s="40" t="str">
        <f>IFERROR(VLOOKUP(2186,Chequeras[],8,FALSE),"BORRADO")</f>
        <v/>
      </c>
      <c r="I558" s="40">
        <f>IFERROR(VLOOKUP(2186,Chequeras[],9,FALSE),"BORRADO")</f>
        <v>0</v>
      </c>
    </row>
    <row r="559" spans="1:9">
      <c r="A559" s="38" t="s">
        <v>353</v>
      </c>
      <c r="B559" s="39">
        <f>IFERROR(VLOOKUP(2187,Chequeras[],2,FALSE),"BORRADO")</f>
        <v>43019</v>
      </c>
      <c r="C559" s="40" t="str">
        <f>IFERROR(VLOOKUP(2187,Chequeras[],3,FALSE),"BORRADO")</f>
        <v>01670260</v>
      </c>
      <c r="D559" s="41">
        <f>IFERROR(VLOOKUP(2187,Chequeras[],4,FALSE),"BORRADO")</f>
        <v>-164847.39000000001</v>
      </c>
      <c r="E559" s="42">
        <f>IFERROR(VLOOKUP(2187,Chequeras[],5,FALSE),"BORRADO")</f>
        <v>43064</v>
      </c>
      <c r="F559" s="41">
        <f ca="1">IFERROR(VLOOKUP(2187,Chequeras[],6,FALSE),"BORRADO")</f>
        <v>48942</v>
      </c>
      <c r="G559" s="40" t="str">
        <f>IFERROR(VLOOKUP(2187,Chequeras[],7,FALSE),"BORRADO")</f>
        <v>Vialtec SA</v>
      </c>
      <c r="H559" s="40" t="str">
        <f>IFERROR(VLOOKUP(2187,Chequeras[],8,FALSE),"BORRADO")</f>
        <v/>
      </c>
      <c r="I559" s="40">
        <f>IFERROR(VLOOKUP(2187,Chequeras[],9,FALSE),"BORRADO")</f>
        <v>0</v>
      </c>
    </row>
    <row r="560" spans="1:9">
      <c r="A560" s="38" t="s">
        <v>353</v>
      </c>
      <c r="B560" s="39">
        <f>IFERROR(VLOOKUP(2175,Chequeras[],2,FALSE),"BORRADO")</f>
        <v>43019</v>
      </c>
      <c r="C560" s="40" t="str">
        <f>IFERROR(VLOOKUP(2175,Chequeras[],3,FALSE),"BORRADO")</f>
        <v>01670248</v>
      </c>
      <c r="D560" s="41">
        <f>IFERROR(VLOOKUP(2175,Chequeras[],4,FALSE),"BORRADO")</f>
        <v>-12000</v>
      </c>
      <c r="E560" s="42">
        <f>IFERROR(VLOOKUP(2175,Chequeras[],5,FALSE),"BORRADO")</f>
        <v>43079</v>
      </c>
      <c r="F560" s="41">
        <f ca="1">IFERROR(VLOOKUP(2175,Chequeras[],6,FALSE),"BORRADO")</f>
        <v>10691</v>
      </c>
      <c r="G560" s="40" t="str">
        <f>IFERROR(VLOOKUP(2175,Chequeras[],7,FALSE),"BORRADO")</f>
        <v>Pioli Edi del Valle</v>
      </c>
      <c r="H560" s="40" t="str">
        <f>IFERROR(VLOOKUP(2175,Chequeras[],8,FALSE),"BORRADO")</f>
        <v/>
      </c>
      <c r="I560" s="40">
        <f>IFERROR(VLOOKUP(2175,Chequeras[],9,FALSE),"BORRADO")</f>
        <v>0</v>
      </c>
    </row>
    <row r="561" spans="1:9">
      <c r="A561" s="38" t="s">
        <v>353</v>
      </c>
      <c r="B561" s="39">
        <f>IFERROR(VLOOKUP(2176,Chequeras[],2,FALSE),"BORRADO")</f>
        <v>43019</v>
      </c>
      <c r="C561" s="40" t="str">
        <f>IFERROR(VLOOKUP(2176,Chequeras[],3,FALSE),"BORRADO")</f>
        <v>01670249</v>
      </c>
      <c r="D561" s="41">
        <f>IFERROR(VLOOKUP(2176,Chequeras[],4,FALSE),"BORRADO")</f>
        <v>-12000</v>
      </c>
      <c r="E561" s="42">
        <f>IFERROR(VLOOKUP(2176,Chequeras[],5,FALSE),"BORRADO")</f>
        <v>43109</v>
      </c>
      <c r="F561" s="41">
        <f ca="1">IFERROR(VLOOKUP(2176,Chequeras[],6,FALSE),"BORRADO")</f>
        <v>2531</v>
      </c>
      <c r="G561" s="40" t="str">
        <f>IFERROR(VLOOKUP(2176,Chequeras[],7,FALSE),"BORRADO")</f>
        <v>Pioli Edi del Valle</v>
      </c>
      <c r="H561" s="40" t="str">
        <f>IFERROR(VLOOKUP(2176,Chequeras[],8,FALSE),"BORRADO")</f>
        <v/>
      </c>
      <c r="I561" s="40">
        <f>IFERROR(VLOOKUP(2176,Chequeras[],9,FALSE),"BORRADO")</f>
        <v>0</v>
      </c>
    </row>
    <row r="562" spans="1:9">
      <c r="A562" s="38" t="s">
        <v>353</v>
      </c>
      <c r="B562" s="39">
        <f>IFERROR(VLOOKUP(2177,Chequeras[],2,FALSE),"BORRADO")</f>
        <v>43019</v>
      </c>
      <c r="C562" s="40" t="str">
        <f>IFERROR(VLOOKUP(2177,Chequeras[],3,FALSE),"BORRADO")</f>
        <v>01670250</v>
      </c>
      <c r="D562" s="41">
        <f>IFERROR(VLOOKUP(2177,Chequeras[],4,FALSE),"BORRADO")</f>
        <v>-13457.36</v>
      </c>
      <c r="E562" s="42">
        <f>IFERROR(VLOOKUP(2177,Chequeras[],5,FALSE),"BORRADO")</f>
        <v>43139</v>
      </c>
      <c r="F562" s="41">
        <f ca="1">IFERROR(VLOOKUP(2177,Chequeras[],6,FALSE),"BORRADO")</f>
        <v>12809</v>
      </c>
      <c r="G562" s="40" t="str">
        <f>IFERROR(VLOOKUP(2177,Chequeras[],7,FALSE),"BORRADO")</f>
        <v>Pioli Edi del Valle</v>
      </c>
      <c r="H562" s="40" t="str">
        <f>IFERROR(VLOOKUP(2177,Chequeras[],8,FALSE),"BORRADO")</f>
        <v/>
      </c>
      <c r="I562" s="40">
        <f>IFERROR(VLOOKUP(2177,Chequeras[],9,FALSE),"BORRADO")</f>
        <v>0</v>
      </c>
    </row>
    <row r="563" spans="1:9">
      <c r="A563" s="38" t="s">
        <v>355</v>
      </c>
      <c r="B563" s="39">
        <f>IFERROR(VLOOKUP(9785,Gastos[],2,FALSE),"BORRADO")</f>
        <v>43020</v>
      </c>
      <c r="C563" s="40">
        <f>IFERROR(VLOOKUP(9785,Gastos[],3,FALSE),"BORRADO")</f>
        <v>662</v>
      </c>
      <c r="D563" s="41">
        <f>IFERROR(VLOOKUP(9785,Gastos[],4,FALSE),"BORRADO")</f>
        <v>-53.52</v>
      </c>
      <c r="E563" s="42">
        <f>IFERROR(VLOOKUP(9785,Gastos[],5,FALSE),"BORRADO")</f>
        <v>43020</v>
      </c>
      <c r="F563" s="41">
        <f ca="1">IFERROR(VLOOKUP(9785,Gastos[],6,FALSE),"BORRADO")</f>
        <v>33</v>
      </c>
      <c r="G563" s="40" t="str">
        <f>IFERROR(VLOOKUP(9785,Gastos[],7,FALSE),"BORRADO")</f>
        <v>Impuesto al débito</v>
      </c>
      <c r="H563" s="40" t="str">
        <f>IFERROR(VLOOKUP(9785,Gastos[],8,FALSE),"BORRADO")</f>
        <v>s/ch. 01670205</v>
      </c>
      <c r="I563" s="40">
        <f>IFERROR(VLOOKUP(9785,Gastos[],9,FALSE),"BORRADO")</f>
        <v>0</v>
      </c>
    </row>
    <row r="564" spans="1:9">
      <c r="A564" s="38" t="s">
        <v>355</v>
      </c>
      <c r="B564" s="39">
        <f>IFERROR(VLOOKUP(9786,Gastos[],2,FALSE),"BORRADO")</f>
        <v>43020</v>
      </c>
      <c r="C564" s="40">
        <f>IFERROR(VLOOKUP(9786,Gastos[],3,FALSE),"BORRADO")</f>
        <v>662</v>
      </c>
      <c r="D564" s="41">
        <f>IFERROR(VLOOKUP(9786,Gastos[],4,FALSE),"BORRADO")</f>
        <v>-59.02</v>
      </c>
      <c r="E564" s="42">
        <f>IFERROR(VLOOKUP(9786,Gastos[],5,FALSE),"BORRADO")</f>
        <v>43020</v>
      </c>
      <c r="F564" s="41">
        <f ca="1">IFERROR(VLOOKUP(9786,Gastos[],6,FALSE),"BORRADO")</f>
        <v>59</v>
      </c>
      <c r="G564" s="40" t="str">
        <f>IFERROR(VLOOKUP(9786,Gastos[],7,FALSE),"BORRADO")</f>
        <v>Impuesto al débito</v>
      </c>
      <c r="H564" s="40" t="str">
        <f>IFERROR(VLOOKUP(9786,Gastos[],8,FALSE),"BORRADO")</f>
        <v>s/ch. 01670189</v>
      </c>
      <c r="I564" s="40">
        <f>IFERROR(VLOOKUP(9786,Gastos[],9,FALSE),"BORRADO")</f>
        <v>0</v>
      </c>
    </row>
    <row r="565" spans="1:9">
      <c r="A565" s="38" t="s">
        <v>355</v>
      </c>
      <c r="B565" s="39">
        <f>IFERROR(VLOOKUP(9787,Gastos[],2,FALSE),"BORRADO")</f>
        <v>43020</v>
      </c>
      <c r="C565" s="40">
        <f>IFERROR(VLOOKUP(9787,Gastos[],3,FALSE),"BORRADO")</f>
        <v>662</v>
      </c>
      <c r="D565" s="41">
        <f>IFERROR(VLOOKUP(9787,Gastos[],4,FALSE),"BORRADO")</f>
        <v>-13.63</v>
      </c>
      <c r="E565" s="42">
        <f>IFERROR(VLOOKUP(9787,Gastos[],5,FALSE),"BORRADO")</f>
        <v>43020</v>
      </c>
      <c r="F565" s="41">
        <f ca="1">IFERROR(VLOOKUP(9787,Gastos[],6,FALSE),"BORRADO")</f>
        <v>0</v>
      </c>
      <c r="G565" s="40" t="str">
        <f>IFERROR(VLOOKUP(9787,Gastos[],7,FALSE),"BORRADO")</f>
        <v>Impuesto al débito</v>
      </c>
      <c r="H565" s="40" t="str">
        <f>IFERROR(VLOOKUP(9787,Gastos[],8,FALSE),"BORRADO")</f>
        <v>s/ch. 01670203</v>
      </c>
      <c r="I565" s="40">
        <f>IFERROR(VLOOKUP(9787,Gastos[],9,FALSE),"BORRADO")</f>
        <v>0</v>
      </c>
    </row>
    <row r="566" spans="1:9">
      <c r="A566" s="38" t="s">
        <v>355</v>
      </c>
      <c r="B566" s="39">
        <f>IFERROR(VLOOKUP(9788,Gastos[],2,FALSE),"BORRADO")</f>
        <v>43020</v>
      </c>
      <c r="C566" s="40">
        <f>IFERROR(VLOOKUP(9788,Gastos[],3,FALSE),"BORRADO")</f>
        <v>662</v>
      </c>
      <c r="D566" s="41">
        <f>IFERROR(VLOOKUP(9788,Gastos[],4,FALSE),"BORRADO")</f>
        <v>-13.61</v>
      </c>
      <c r="E566" s="42">
        <f>IFERROR(VLOOKUP(9788,Gastos[],5,FALSE),"BORRADO")</f>
        <v>43020</v>
      </c>
      <c r="F566" s="41">
        <f ca="1">IFERROR(VLOOKUP(9788,Gastos[],6,FALSE),"BORRADO")</f>
        <v>8</v>
      </c>
      <c r="G566" s="40" t="str">
        <f>IFERROR(VLOOKUP(9788,Gastos[],7,FALSE),"BORRADO")</f>
        <v>Impuesto al débito</v>
      </c>
      <c r="H566" s="40" t="str">
        <f>IFERROR(VLOOKUP(9788,Gastos[],8,FALSE),"BORRADO")</f>
        <v>s/ch. 01670191</v>
      </c>
      <c r="I566" s="40">
        <f>IFERROR(VLOOKUP(9788,Gastos[],9,FALSE),"BORRADO")</f>
        <v>0</v>
      </c>
    </row>
    <row r="567" spans="1:9">
      <c r="A567" s="38" t="s">
        <v>355</v>
      </c>
      <c r="B567" s="39">
        <f>IFERROR(VLOOKUP(9789,Gastos[],2,FALSE),"BORRADO")</f>
        <v>43020</v>
      </c>
      <c r="C567" s="40">
        <f>IFERROR(VLOOKUP(9789,Gastos[],3,FALSE),"BORRADO")</f>
        <v>662</v>
      </c>
      <c r="D567" s="41">
        <f>IFERROR(VLOOKUP(9789,Gastos[],4,FALSE),"BORRADO")</f>
        <v>-300</v>
      </c>
      <c r="E567" s="42">
        <f>IFERROR(VLOOKUP(9789,Gastos[],5,FALSE),"BORRADO")</f>
        <v>43020</v>
      </c>
      <c r="F567" s="41">
        <f ca="1">IFERROR(VLOOKUP(9789,Gastos[],6,FALSE),"BORRADO")</f>
        <v>2</v>
      </c>
      <c r="G567" s="40" t="str">
        <f>IFERROR(VLOOKUP(9789,Gastos[],7,FALSE),"BORRADO")</f>
        <v>Impuesto al débito</v>
      </c>
      <c r="H567" s="40" t="str">
        <f>IFERROR(VLOOKUP(9789,Gastos[],8,FALSE),"BORRADO")</f>
        <v xml:space="preserve">s/ch. </v>
      </c>
      <c r="I567" s="40">
        <f>IFERROR(VLOOKUP(9789,Gastos[],9,FALSE),"BORRADO")</f>
        <v>0</v>
      </c>
    </row>
    <row r="568" spans="1:9">
      <c r="A568" s="38" t="s">
        <v>355</v>
      </c>
      <c r="B568" s="39">
        <f>IFERROR(VLOOKUP(9790,Gastos[],2,FALSE),"BORRADO")</f>
        <v>43020</v>
      </c>
      <c r="C568" s="40">
        <f>IFERROR(VLOOKUP(9790,Gastos[],3,FALSE),"BORRADO")</f>
        <v>662</v>
      </c>
      <c r="D568" s="41">
        <f>IFERROR(VLOOKUP(9790,Gastos[],4,FALSE),"BORRADO")</f>
        <v>-300</v>
      </c>
      <c r="E568" s="42">
        <f>IFERROR(VLOOKUP(9790,Gastos[],5,FALSE),"BORRADO")</f>
        <v>43020</v>
      </c>
      <c r="F568" s="41">
        <f ca="1">IFERROR(VLOOKUP(9790,Gastos[],6,FALSE),"BORRADO")</f>
        <v>24</v>
      </c>
      <c r="G568" s="40" t="str">
        <f>IFERROR(VLOOKUP(9790,Gastos[],7,FALSE),"BORRADO")</f>
        <v>Impuesto al débito</v>
      </c>
      <c r="H568" s="40" t="str">
        <f>IFERROR(VLOOKUP(9790,Gastos[],8,FALSE),"BORRADO")</f>
        <v xml:space="preserve">s/ch. </v>
      </c>
      <c r="I568" s="40">
        <f>IFERROR(VLOOKUP(9790,Gastos[],9,FALSE),"BORRADO")</f>
        <v>0</v>
      </c>
    </row>
    <row r="569" spans="1:9">
      <c r="A569" s="38" t="s">
        <v>355</v>
      </c>
      <c r="B569" s="39">
        <f>IFERROR(VLOOKUP(9791,Gastos[],2,FALSE),"BORRADO")</f>
        <v>43020</v>
      </c>
      <c r="C569" s="40">
        <f>IFERROR(VLOOKUP(9791,Gastos[],3,FALSE),"BORRADO")</f>
        <v>662</v>
      </c>
      <c r="D569" s="41">
        <f>IFERROR(VLOOKUP(9791,Gastos[],4,FALSE),"BORRADO")</f>
        <v>-300</v>
      </c>
      <c r="E569" s="42">
        <f>IFERROR(VLOOKUP(9791,Gastos[],5,FALSE),"BORRADO")</f>
        <v>43020</v>
      </c>
      <c r="F569" s="41">
        <f ca="1">IFERROR(VLOOKUP(9791,Gastos[],6,FALSE),"BORRADO")</f>
        <v>71</v>
      </c>
      <c r="G569" s="40" t="str">
        <f>IFERROR(VLOOKUP(9791,Gastos[],7,FALSE),"BORRADO")</f>
        <v>Impuesto al débito</v>
      </c>
      <c r="H569" s="40" t="str">
        <f>IFERROR(VLOOKUP(9791,Gastos[],8,FALSE),"BORRADO")</f>
        <v xml:space="preserve">s/ch. </v>
      </c>
      <c r="I569" s="40">
        <f>IFERROR(VLOOKUP(9791,Gastos[],9,FALSE),"BORRADO")</f>
        <v>0</v>
      </c>
    </row>
    <row r="570" spans="1:9">
      <c r="A570" s="38" t="s">
        <v>355</v>
      </c>
      <c r="B570" s="39">
        <f>IFERROR(VLOOKUP(9792,Gastos[],2,FALSE),"BORRADO")</f>
        <v>43020</v>
      </c>
      <c r="C570" s="40">
        <f>IFERROR(VLOOKUP(9792,Gastos[],3,FALSE),"BORRADO")</f>
        <v>662</v>
      </c>
      <c r="D570" s="41">
        <f>IFERROR(VLOOKUP(9792,Gastos[],4,FALSE),"BORRADO")</f>
        <v>-300</v>
      </c>
      <c r="E570" s="42">
        <f>IFERROR(VLOOKUP(9792,Gastos[],5,FALSE),"BORRADO")</f>
        <v>43020</v>
      </c>
      <c r="F570" s="41">
        <f ca="1">IFERROR(VLOOKUP(9792,Gastos[],6,FALSE),"BORRADO")</f>
        <v>281</v>
      </c>
      <c r="G570" s="40" t="str">
        <f>IFERROR(VLOOKUP(9792,Gastos[],7,FALSE),"BORRADO")</f>
        <v>Impuesto al débito</v>
      </c>
      <c r="H570" s="40" t="str">
        <f>IFERROR(VLOOKUP(9792,Gastos[],8,FALSE),"BORRADO")</f>
        <v xml:space="preserve">s/ch. </v>
      </c>
      <c r="I570" s="40">
        <f>IFERROR(VLOOKUP(9792,Gastos[],9,FALSE),"BORRADO")</f>
        <v>0</v>
      </c>
    </row>
    <row r="571" spans="1:9">
      <c r="A571" s="38" t="s">
        <v>355</v>
      </c>
      <c r="B571" s="39">
        <f>IFERROR(VLOOKUP(9793,Gastos[],2,FALSE),"BORRADO")</f>
        <v>43020</v>
      </c>
      <c r="C571" s="40">
        <f>IFERROR(VLOOKUP(9793,Gastos[],3,FALSE),"BORRADO")</f>
        <v>662</v>
      </c>
      <c r="D571" s="41">
        <f>IFERROR(VLOOKUP(9793,Gastos[],4,FALSE),"BORRADO")</f>
        <v>-108</v>
      </c>
      <c r="E571" s="42">
        <f>IFERROR(VLOOKUP(9793,Gastos[],5,FALSE),"BORRADO")</f>
        <v>43020</v>
      </c>
      <c r="F571" s="41">
        <f ca="1">IFERROR(VLOOKUP(9793,Gastos[],6,FALSE),"BORRADO")</f>
        <v>20</v>
      </c>
      <c r="G571" s="40" t="str">
        <f>IFERROR(VLOOKUP(9793,Gastos[],7,FALSE),"BORRADO")</f>
        <v>Impuesto al débito</v>
      </c>
      <c r="H571" s="40" t="str">
        <f>IFERROR(VLOOKUP(9793,Gastos[],8,FALSE),"BORRADO")</f>
        <v xml:space="preserve">s/ch. </v>
      </c>
      <c r="I571" s="40">
        <f>IFERROR(VLOOKUP(9793,Gastos[],9,FALSE),"BORRADO")</f>
        <v>0</v>
      </c>
    </row>
    <row r="572" spans="1:9">
      <c r="A572" s="38" t="s">
        <v>355</v>
      </c>
      <c r="B572" s="39">
        <f>IFERROR(VLOOKUP(9794,Gastos[],2,FALSE),"BORRADO")</f>
        <v>43020</v>
      </c>
      <c r="C572" s="40">
        <f>IFERROR(VLOOKUP(9794,Gastos[],3,FALSE),"BORRADO")</f>
        <v>612</v>
      </c>
      <c r="D572" s="41">
        <f>IFERROR(VLOOKUP(9794,Gastos[],4,FALSE),"BORRADO")</f>
        <v>-2538</v>
      </c>
      <c r="E572" s="42">
        <f>IFERROR(VLOOKUP(9794,Gastos[],5,FALSE),"BORRADO")</f>
        <v>43020</v>
      </c>
      <c r="F572" s="41">
        <f ca="1">IFERROR(VLOOKUP(9794,Gastos[],6,FALSE),"BORRADO")</f>
        <v>1588</v>
      </c>
      <c r="G572" s="40" t="str">
        <f>IFERROR(VLOOKUP(9794,Gastos[],7,FALSE),"BORRADO")</f>
        <v>Impuesto al crédito</v>
      </c>
      <c r="H572" s="40" t="str">
        <f>IFERROR(VLOOKUP(9794,Gastos[],8,FALSE),"BORRADO")</f>
        <v>s/dep.12/10/2017 76349687</v>
      </c>
      <c r="I572" s="40">
        <f>IFERROR(VLOOKUP(9794,Gastos[],9,FALSE),"BORRADO")</f>
        <v>0</v>
      </c>
    </row>
    <row r="573" spans="1:9">
      <c r="A573" s="38" t="s">
        <v>355</v>
      </c>
      <c r="B573" s="39">
        <f>IFERROR(VLOOKUP(9795,Gastos[],2,FALSE),"BORRADO")</f>
        <v>43020</v>
      </c>
      <c r="C573" s="40">
        <f>IFERROR(VLOOKUP(9795,Gastos[],3,FALSE),"BORRADO")</f>
        <v>612</v>
      </c>
      <c r="D573" s="41">
        <f>IFERROR(VLOOKUP(9795,Gastos[],4,FALSE),"BORRADO")</f>
        <v>-1425</v>
      </c>
      <c r="E573" s="42">
        <f>IFERROR(VLOOKUP(9795,Gastos[],5,FALSE),"BORRADO")</f>
        <v>43020</v>
      </c>
      <c r="F573" s="41">
        <f ca="1">IFERROR(VLOOKUP(9795,Gastos[],6,FALSE),"BORRADO")</f>
        <v>22</v>
      </c>
      <c r="G573" s="40" t="str">
        <f>IFERROR(VLOOKUP(9795,Gastos[],7,FALSE),"BORRADO")</f>
        <v>Impuesto al crédito</v>
      </c>
      <c r="H573" s="40" t="str">
        <f>IFERROR(VLOOKUP(9795,Gastos[],8,FALSE),"BORRADO")</f>
        <v>s/dep.12/10/2017 51681472</v>
      </c>
      <c r="I573" s="40">
        <f>IFERROR(VLOOKUP(9795,Gastos[],9,FALSE),"BORRADO")</f>
        <v>0</v>
      </c>
    </row>
    <row r="574" spans="1:9">
      <c r="A574" s="38" t="s">
        <v>355</v>
      </c>
      <c r="B574" s="39">
        <f>IFERROR(VLOOKUP(9796,Gastos[],2,FALSE),"BORRADO")</f>
        <v>43020</v>
      </c>
      <c r="C574" s="40">
        <f>IFERROR(VLOOKUP(9796,Gastos[],3,FALSE),"BORRADO")</f>
        <v>612</v>
      </c>
      <c r="D574" s="41">
        <f>IFERROR(VLOOKUP(9796,Gastos[],4,FALSE),"BORRADO")</f>
        <v>-346.51</v>
      </c>
      <c r="E574" s="42">
        <f>IFERROR(VLOOKUP(9796,Gastos[],5,FALSE),"BORRADO")</f>
        <v>43020</v>
      </c>
      <c r="F574" s="41">
        <f ca="1">IFERROR(VLOOKUP(9796,Gastos[],6,FALSE),"BORRADO")</f>
        <v>312</v>
      </c>
      <c r="G574" s="40" t="str">
        <f>IFERROR(VLOOKUP(9796,Gastos[],7,FALSE),"BORRADO")</f>
        <v>Impuesto al crédito</v>
      </c>
      <c r="H574" s="40" t="str">
        <f>IFERROR(VLOOKUP(9796,Gastos[],8,FALSE),"BORRADO")</f>
        <v>s/dep.12/10/2017 12756969</v>
      </c>
      <c r="I574" s="40">
        <f>IFERROR(VLOOKUP(9796,Gastos[],9,FALSE),"BORRADO")</f>
        <v>0</v>
      </c>
    </row>
    <row r="575" spans="1:9">
      <c r="A575" s="38" t="s">
        <v>355</v>
      </c>
      <c r="B575" s="39">
        <f>IFERROR(VLOOKUP(9797,Gastos[],2,FALSE),"BORRADO")</f>
        <v>43020</v>
      </c>
      <c r="C575" s="40">
        <f>IFERROR(VLOOKUP(9797,Gastos[],3,FALSE),"BORRADO")</f>
        <v>612</v>
      </c>
      <c r="D575" s="41">
        <f>IFERROR(VLOOKUP(9797,Gastos[],4,FALSE),"BORRADO")</f>
        <v>-71.53</v>
      </c>
      <c r="E575" s="42">
        <f>IFERROR(VLOOKUP(9797,Gastos[],5,FALSE),"BORRADO")</f>
        <v>43020</v>
      </c>
      <c r="F575" s="41">
        <f ca="1">IFERROR(VLOOKUP(9797,Gastos[],6,FALSE),"BORRADO")</f>
        <v>0</v>
      </c>
      <c r="G575" s="40" t="str">
        <f>IFERROR(VLOOKUP(9797,Gastos[],7,FALSE),"BORRADO")</f>
        <v>Impuesto al crédito</v>
      </c>
      <c r="H575" s="40" t="str">
        <f>IFERROR(VLOOKUP(9797,Gastos[],8,FALSE),"BORRADO")</f>
        <v>s/dep.12/10/2017 13218032</v>
      </c>
      <c r="I575" s="40">
        <f>IFERROR(VLOOKUP(9797,Gastos[],9,FALSE),"BORRADO")</f>
        <v>0</v>
      </c>
    </row>
    <row r="576" spans="1:9">
      <c r="A576" s="38" t="s">
        <v>355</v>
      </c>
      <c r="B576" s="39">
        <f>IFERROR(VLOOKUP(9798,Gastos[],2,FALSE),"BORRADO")</f>
        <v>43020</v>
      </c>
      <c r="C576" s="40">
        <f>IFERROR(VLOOKUP(9798,Gastos[],3,FALSE),"BORRADO")</f>
        <v>612</v>
      </c>
      <c r="D576" s="41">
        <f>IFERROR(VLOOKUP(9798,Gastos[],4,FALSE),"BORRADO")</f>
        <v>-426.51</v>
      </c>
      <c r="E576" s="42">
        <f>IFERROR(VLOOKUP(9798,Gastos[],5,FALSE),"BORRADO")</f>
        <v>43020</v>
      </c>
      <c r="F576" s="41">
        <f ca="1">IFERROR(VLOOKUP(9798,Gastos[],6,FALSE),"BORRADO")</f>
        <v>302</v>
      </c>
      <c r="G576" s="40" t="str">
        <f>IFERROR(VLOOKUP(9798,Gastos[],7,FALSE),"BORRADO")</f>
        <v>Impuesto al crédito</v>
      </c>
      <c r="H576" s="40" t="str">
        <f>IFERROR(VLOOKUP(9798,Gastos[],8,FALSE),"BORRADO")</f>
        <v>s/dep.12/10/2017 33335411</v>
      </c>
      <c r="I576" s="40">
        <f>IFERROR(VLOOKUP(9798,Gastos[],9,FALSE),"BORRADO")</f>
        <v>0</v>
      </c>
    </row>
    <row r="577" spans="1:9">
      <c r="A577" s="38" t="s">
        <v>355</v>
      </c>
      <c r="B577" s="39">
        <f>IFERROR(VLOOKUP(9799,Gastos[],2,FALSE),"BORRADO")</f>
        <v>43020</v>
      </c>
      <c r="C577" s="40">
        <f>IFERROR(VLOOKUP(9799,Gastos[],3,FALSE),"BORRADO")</f>
        <v>662</v>
      </c>
      <c r="D577" s="41">
        <f>IFERROR(VLOOKUP(9799,Gastos[],4,FALSE),"BORRADO")</f>
        <v>-18</v>
      </c>
      <c r="E577" s="42">
        <f>IFERROR(VLOOKUP(9799,Gastos[],5,FALSE),"BORRADO")</f>
        <v>43020</v>
      </c>
      <c r="F577" s="41">
        <f ca="1">IFERROR(VLOOKUP(9799,Gastos[],6,FALSE),"BORRADO")</f>
        <v>13</v>
      </c>
      <c r="G577" s="40" t="str">
        <f>IFERROR(VLOOKUP(9799,Gastos[],7,FALSE),"BORRADO")</f>
        <v>Impuesto al débito</v>
      </c>
      <c r="H577" s="40" t="str">
        <f>IFERROR(VLOOKUP(9799,Gastos[],8,FALSE),"BORRADO")</f>
        <v>s/ch. 01670207</v>
      </c>
      <c r="I577" s="40">
        <f>IFERROR(VLOOKUP(9799,Gastos[],9,FALSE),"BORRADO")</f>
        <v>0</v>
      </c>
    </row>
    <row r="578" spans="1:9">
      <c r="A578" s="38" t="s">
        <v>354</v>
      </c>
      <c r="B578" s="39">
        <f>IFERROR(VLOOKUP(3219,Depositos[],2,FALSE),"BORRADO")</f>
        <v>43020</v>
      </c>
      <c r="C578" s="40" t="str">
        <f>IFERROR(VLOOKUP(3219,Depositos[],3,FALSE),"BORRADO")</f>
        <v>RR CHEQUE</v>
      </c>
      <c r="D578" s="41">
        <f>IFERROR(VLOOKUP(3219,Depositos[],4,FALSE),"BORRADO")</f>
        <v>80000</v>
      </c>
      <c r="E578" s="42">
        <f>IFERROR(VLOOKUP(3219,Depositos[],5,FALSE),"BORRADO")</f>
        <v>43021</v>
      </c>
      <c r="F578" s="41">
        <f ca="1">IFERROR(VLOOKUP(3219,Depositos[],6,FALSE),"BORRADO")</f>
        <v>26540</v>
      </c>
      <c r="G578" s="40" t="str">
        <f>IFERROR(VLOOKUP(3219,Depositos[],7,FALSE),"BORRADO")</f>
        <v>MACRO 68035569</v>
      </c>
      <c r="H578" s="40" t="str">
        <f>IFERROR(VLOOKUP(3219,Depositos[],8,FALSE),"BORRADO")</f>
        <v>P</v>
      </c>
      <c r="I578" s="40">
        <f>IFERROR(VLOOKUP(3219,Depositos[],9,FALSE),"BORRADO")</f>
        <v>0</v>
      </c>
    </row>
    <row r="579" spans="1:9">
      <c r="A579" s="38" t="s">
        <v>354</v>
      </c>
      <c r="B579" s="39">
        <f>IFERROR(VLOOKUP(3220,Depositos[],2,FALSE),"BORRADO")</f>
        <v>43020</v>
      </c>
      <c r="C579" s="40" t="str">
        <f>IFERROR(VLOOKUP(3220,Depositos[],3,FALSE),"BORRADO")</f>
        <v>RR CHEQUE</v>
      </c>
      <c r="D579" s="41">
        <f>IFERROR(VLOOKUP(3220,Depositos[],4,FALSE),"BORRADO")</f>
        <v>80000</v>
      </c>
      <c r="E579" s="42">
        <f>IFERROR(VLOOKUP(3220,Depositos[],5,FALSE),"BORRADO")</f>
        <v>43021</v>
      </c>
      <c r="F579" s="41">
        <f ca="1">IFERROR(VLOOKUP(3220,Depositos[],6,FALSE),"BORRADO")</f>
        <v>18823</v>
      </c>
      <c r="G579" s="40" t="str">
        <f>IFERROR(VLOOKUP(3220,Depositos[],7,FALSE),"BORRADO")</f>
        <v>MACRO 68035568</v>
      </c>
      <c r="H579" s="40" t="str">
        <f>IFERROR(VLOOKUP(3220,Depositos[],8,FALSE),"BORRADO")</f>
        <v>P</v>
      </c>
      <c r="I579" s="40">
        <f>IFERROR(VLOOKUP(3220,Depositos[],9,FALSE),"BORRADO")</f>
        <v>0</v>
      </c>
    </row>
    <row r="580" spans="1:9">
      <c r="A580" s="38" t="s">
        <v>354</v>
      </c>
      <c r="B580" s="39">
        <f>IFERROR(VLOOKUP(3221,Depositos[],2,FALSE),"BORRADO")</f>
        <v>43020</v>
      </c>
      <c r="C580" s="40" t="str">
        <f>IFERROR(VLOOKUP(3221,Depositos[],3,FALSE),"BORRADO")</f>
        <v>RR CHEQUE</v>
      </c>
      <c r="D580" s="41">
        <f>IFERROR(VLOOKUP(3221,Depositos[],4,FALSE),"BORRADO")</f>
        <v>1232.96</v>
      </c>
      <c r="E580" s="42">
        <f>IFERROR(VLOOKUP(3221,Depositos[],5,FALSE),"BORRADO")</f>
        <v>43021</v>
      </c>
      <c r="F580" s="41">
        <f ca="1">IFERROR(VLOOKUP(3221,Depositos[],6,FALSE),"BORRADO")</f>
        <v>667</v>
      </c>
      <c r="G580" s="40" t="str">
        <f>IFERROR(VLOOKUP(3221,Depositos[],7,FALSE),"BORRADO")</f>
        <v>INDUSTRIAL 13218034</v>
      </c>
      <c r="H580" s="40" t="str">
        <f>IFERROR(VLOOKUP(3221,Depositos[],8,FALSE),"BORRADO")</f>
        <v>P</v>
      </c>
      <c r="I580" s="40">
        <f>IFERROR(VLOOKUP(3221,Depositos[],9,FALSE),"BORRADO")</f>
        <v>0</v>
      </c>
    </row>
    <row r="581" spans="1:9">
      <c r="A581" s="38" t="s">
        <v>354</v>
      </c>
      <c r="B581" s="39">
        <f>IFERROR(VLOOKUP(3222,Depositos[],2,FALSE),"BORRADO")</f>
        <v>43020</v>
      </c>
      <c r="C581" s="40" t="str">
        <f>IFERROR(VLOOKUP(3222,Depositos[],3,FALSE),"BORRADO")</f>
        <v>RR CHEQUE</v>
      </c>
      <c r="D581" s="41">
        <f>IFERROR(VLOOKUP(3222,Depositos[],4,FALSE),"BORRADO")</f>
        <v>2688.15</v>
      </c>
      <c r="E581" s="42">
        <f>IFERROR(VLOOKUP(3222,Depositos[],5,FALSE),"BORRADO")</f>
        <v>43021</v>
      </c>
      <c r="F581" s="41">
        <f ca="1">IFERROR(VLOOKUP(3222,Depositos[],6,FALSE),"BORRADO")</f>
        <v>1177</v>
      </c>
      <c r="G581" s="40" t="str">
        <f>IFERROR(VLOOKUP(3222,Depositos[],7,FALSE),"BORRADO")</f>
        <v>INDUSTRIAL 13218033</v>
      </c>
      <c r="H581" s="40" t="str">
        <f>IFERROR(VLOOKUP(3222,Depositos[],8,FALSE),"BORRADO")</f>
        <v>P</v>
      </c>
      <c r="I581" s="40">
        <f>IFERROR(VLOOKUP(3222,Depositos[],9,FALSE),"BORRADO")</f>
        <v>0</v>
      </c>
    </row>
    <row r="582" spans="1:9">
      <c r="A582" s="38" t="s">
        <v>354</v>
      </c>
      <c r="B582" s="39">
        <f>IFERROR(VLOOKUP(3223,Depositos[],2,FALSE),"BORRADO")</f>
        <v>43020</v>
      </c>
      <c r="C582" s="40" t="str">
        <f>IFERROR(VLOOKUP(3223,Depositos[],3,FALSE),"BORRADO")</f>
        <v>RR CHEQUE</v>
      </c>
      <c r="D582" s="41">
        <f>IFERROR(VLOOKUP(3223,Depositos[],4,FALSE),"BORRADO")</f>
        <v>144437.60999999999</v>
      </c>
      <c r="E582" s="42">
        <f>IFERROR(VLOOKUP(3223,Depositos[],5,FALSE),"BORRADO")</f>
        <v>43021</v>
      </c>
      <c r="F582" s="41">
        <f ca="1">IFERROR(VLOOKUP(3223,Depositos[],6,FALSE),"BORRADO")</f>
        <v>89129</v>
      </c>
      <c r="G582" s="40" t="str">
        <f>IFERROR(VLOOKUP(3223,Depositos[],7,FALSE),"BORRADO")</f>
        <v>MACRO 69860843 NOA CARD / RR</v>
      </c>
      <c r="H582" s="40" t="str">
        <f>IFERROR(VLOOKUP(3223,Depositos[],8,FALSE),"BORRADO")</f>
        <v>P</v>
      </c>
      <c r="I582" s="40">
        <f>IFERROR(VLOOKUP(3223,Depositos[],9,FALSE),"BORRADO")</f>
        <v>0</v>
      </c>
    </row>
    <row r="583" spans="1:9">
      <c r="A583" s="38" t="s">
        <v>355</v>
      </c>
      <c r="B583" s="39">
        <f>IFERROR(VLOOKUP(9800,Gastos[],2,FALSE),"BORRADO")</f>
        <v>43021</v>
      </c>
      <c r="C583" s="40">
        <f>IFERROR(VLOOKUP(9800,Gastos[],3,FALSE),"BORRADO")</f>
        <v>662</v>
      </c>
      <c r="D583" s="41">
        <f>IFERROR(VLOOKUP(9800,Gastos[],4,FALSE),"BORRADO")</f>
        <v>-103.25</v>
      </c>
      <c r="E583" s="42">
        <f>IFERROR(VLOOKUP(9800,Gastos[],5,FALSE),"BORRADO")</f>
        <v>43021</v>
      </c>
      <c r="F583" s="41">
        <f ca="1">IFERROR(VLOOKUP(9800,Gastos[],6,FALSE),"BORRADO")</f>
        <v>6</v>
      </c>
      <c r="G583" s="40" t="str">
        <f>IFERROR(VLOOKUP(9800,Gastos[],7,FALSE),"BORRADO")</f>
        <v>Impuesto al débito</v>
      </c>
      <c r="H583" s="40" t="str">
        <f>IFERROR(VLOOKUP(9800,Gastos[],8,FALSE),"BORRADO")</f>
        <v>s/ch. 01670256</v>
      </c>
      <c r="I583" s="40">
        <f>IFERROR(VLOOKUP(9800,Gastos[],9,FALSE),"BORRADO")</f>
        <v>0</v>
      </c>
    </row>
    <row r="584" spans="1:9">
      <c r="A584" s="38" t="s">
        <v>355</v>
      </c>
      <c r="B584" s="39">
        <f>IFERROR(VLOOKUP(9801,Gastos[],2,FALSE),"BORRADO")</f>
        <v>43021</v>
      </c>
      <c r="C584" s="40">
        <f>IFERROR(VLOOKUP(9801,Gastos[],3,FALSE),"BORRADO")</f>
        <v>662</v>
      </c>
      <c r="D584" s="41">
        <f>IFERROR(VLOOKUP(9801,Gastos[],4,FALSE),"BORRADO")</f>
        <v>-268.44</v>
      </c>
      <c r="E584" s="42">
        <f>IFERROR(VLOOKUP(9801,Gastos[],5,FALSE),"BORRADO")</f>
        <v>43021</v>
      </c>
      <c r="F584" s="41">
        <f ca="1">IFERROR(VLOOKUP(9801,Gastos[],6,FALSE),"BORRADO")</f>
        <v>85</v>
      </c>
      <c r="G584" s="40" t="str">
        <f>IFERROR(VLOOKUP(9801,Gastos[],7,FALSE),"BORRADO")</f>
        <v>Impuesto al débito</v>
      </c>
      <c r="H584" s="40" t="str">
        <f>IFERROR(VLOOKUP(9801,Gastos[],8,FALSE),"BORRADO")</f>
        <v>s/ch. 01670255</v>
      </c>
      <c r="I584" s="40">
        <f>IFERROR(VLOOKUP(9801,Gastos[],9,FALSE),"BORRADO")</f>
        <v>0</v>
      </c>
    </row>
    <row r="585" spans="1:9">
      <c r="A585" s="38" t="s">
        <v>355</v>
      </c>
      <c r="B585" s="39">
        <f>IFERROR(VLOOKUP(9802,Gastos[],2,FALSE),"BORRADO")</f>
        <v>43021</v>
      </c>
      <c r="C585" s="40">
        <f>IFERROR(VLOOKUP(9802,Gastos[],3,FALSE),"BORRADO")</f>
        <v>662</v>
      </c>
      <c r="D585" s="41">
        <f>IFERROR(VLOOKUP(9802,Gastos[],4,FALSE),"BORRADO")</f>
        <v>-14.73</v>
      </c>
      <c r="E585" s="42">
        <f>IFERROR(VLOOKUP(9802,Gastos[],5,FALSE),"BORRADO")</f>
        <v>43021</v>
      </c>
      <c r="F585" s="41">
        <f ca="1">IFERROR(VLOOKUP(9802,Gastos[],6,FALSE),"BORRADO")</f>
        <v>0</v>
      </c>
      <c r="G585" s="40" t="str">
        <f>IFERROR(VLOOKUP(9802,Gastos[],7,FALSE),"BORRADO")</f>
        <v>Impuesto al débito</v>
      </c>
      <c r="H585" s="40" t="str">
        <f>IFERROR(VLOOKUP(9802,Gastos[],8,FALSE),"BORRADO")</f>
        <v>s/ch. 01670188</v>
      </c>
      <c r="I585" s="40">
        <f>IFERROR(VLOOKUP(9802,Gastos[],9,FALSE),"BORRADO")</f>
        <v>0</v>
      </c>
    </row>
    <row r="586" spans="1:9">
      <c r="A586" s="38" t="s">
        <v>355</v>
      </c>
      <c r="B586" s="39">
        <f>IFERROR(VLOOKUP(9803,Gastos[],2,FALSE),"BORRADO")</f>
        <v>43021</v>
      </c>
      <c r="C586" s="40">
        <f>IFERROR(VLOOKUP(9803,Gastos[],3,FALSE),"BORRADO")</f>
        <v>835</v>
      </c>
      <c r="D586" s="41">
        <f>IFERROR(VLOOKUP(9803,Gastos[],4,FALSE),"BORRADO")</f>
        <v>-149189.04999999999</v>
      </c>
      <c r="E586" s="42">
        <f>IFERROR(VLOOKUP(9803,Gastos[],5,FALSE),"BORRADO")</f>
        <v>43021</v>
      </c>
      <c r="F586" s="41">
        <f ca="1">IFERROR(VLOOKUP(9803,Gastos[],6,FALSE),"BORRADO")</f>
        <v>107821</v>
      </c>
      <c r="G586" s="40" t="str">
        <f>IFERROR(VLOOKUP(9803,Gastos[],7,FALSE),"BORRADO")</f>
        <v>Pago P/Link Ant.Bs.Pers. 3/2017</v>
      </c>
      <c r="H586" s="40">
        <f>IFERROR(VLOOKUP(9803,Gastos[],8,FALSE),"BORRADO")</f>
        <v>0</v>
      </c>
      <c r="I586" s="40">
        <f>IFERROR(VLOOKUP(9803,Gastos[],9,FALSE),"BORRADO")</f>
        <v>0</v>
      </c>
    </row>
    <row r="587" spans="1:9">
      <c r="A587" s="38" t="s">
        <v>355</v>
      </c>
      <c r="B587" s="39">
        <f>IFERROR(VLOOKUP(9804,Gastos[],2,FALSE),"BORRADO")</f>
        <v>43021</v>
      </c>
      <c r="C587" s="40">
        <f>IFERROR(VLOOKUP(9804,Gastos[],3,FALSE),"BORRADO")</f>
        <v>662</v>
      </c>
      <c r="D587" s="41">
        <f>IFERROR(VLOOKUP(9804,Gastos[],4,FALSE),"BORRADO")</f>
        <v>-895.13</v>
      </c>
      <c r="E587" s="42">
        <f>IFERROR(VLOOKUP(9804,Gastos[],5,FALSE),"BORRADO")</f>
        <v>43021</v>
      </c>
      <c r="F587" s="41">
        <f ca="1">IFERROR(VLOOKUP(9804,Gastos[],6,FALSE),"BORRADO")</f>
        <v>593</v>
      </c>
      <c r="G587" s="40" t="str">
        <f>IFERROR(VLOOKUP(9804,Gastos[],7,FALSE),"BORRADO")</f>
        <v>Impuesto al débito</v>
      </c>
      <c r="H587" s="40" t="str">
        <f>IFERROR(VLOOKUP(9804,Gastos[],8,FALSE),"BORRADO")</f>
        <v>Pago P/Link Ant.Bs.Pers. 3/2017</v>
      </c>
      <c r="I587" s="40">
        <f>IFERROR(VLOOKUP(9804,Gastos[],9,FALSE),"BORRADO")</f>
        <v>0</v>
      </c>
    </row>
    <row r="588" spans="1:9">
      <c r="A588" s="38" t="s">
        <v>355</v>
      </c>
      <c r="B588" s="39">
        <f>IFERROR(VLOOKUP(9805,Gastos[],2,FALSE),"BORRADO")</f>
        <v>43021</v>
      </c>
      <c r="C588" s="40">
        <f>IFERROR(VLOOKUP(9805,Gastos[],3,FALSE),"BORRADO")</f>
        <v>662</v>
      </c>
      <c r="D588" s="41">
        <f>IFERROR(VLOOKUP(9805,Gastos[],4,FALSE),"BORRADO")</f>
        <v>-240</v>
      </c>
      <c r="E588" s="42">
        <f>IFERROR(VLOOKUP(9805,Gastos[],5,FALSE),"BORRADO")</f>
        <v>43021</v>
      </c>
      <c r="F588" s="41">
        <f ca="1">IFERROR(VLOOKUP(9805,Gastos[],6,FALSE),"BORRADO")</f>
        <v>178</v>
      </c>
      <c r="G588" s="40" t="str">
        <f>IFERROR(VLOOKUP(9805,Gastos[],7,FALSE),"BORRADO")</f>
        <v>Impuesto al débito</v>
      </c>
      <c r="H588" s="40" t="str">
        <f>IFERROR(VLOOKUP(9805,Gastos[],8,FALSE),"BORRADO")</f>
        <v xml:space="preserve">s/ch. </v>
      </c>
      <c r="I588" s="40">
        <f>IFERROR(VLOOKUP(9805,Gastos[],9,FALSE),"BORRADO")</f>
        <v>0</v>
      </c>
    </row>
    <row r="589" spans="1:9">
      <c r="A589" s="38" t="s">
        <v>355</v>
      </c>
      <c r="B589" s="39">
        <f>IFERROR(VLOOKUP(9806,Gastos[],2,FALSE),"BORRADO")</f>
        <v>43021</v>
      </c>
      <c r="C589" s="40">
        <f>IFERROR(VLOOKUP(9806,Gastos[],3,FALSE),"BORRADO")</f>
        <v>662</v>
      </c>
      <c r="D589" s="41">
        <f>IFERROR(VLOOKUP(9806,Gastos[],4,FALSE),"BORRADO")</f>
        <v>-47.49</v>
      </c>
      <c r="E589" s="42">
        <f>IFERROR(VLOOKUP(9806,Gastos[],5,FALSE),"BORRADO")</f>
        <v>43021</v>
      </c>
      <c r="F589" s="41">
        <f ca="1">IFERROR(VLOOKUP(9806,Gastos[],6,FALSE),"BORRADO")</f>
        <v>38</v>
      </c>
      <c r="G589" s="40" t="str">
        <f>IFERROR(VLOOKUP(9806,Gastos[],7,FALSE),"BORRADO")</f>
        <v>Impuesto al débito</v>
      </c>
      <c r="H589" s="40" t="str">
        <f>IFERROR(VLOOKUP(9806,Gastos[],8,FALSE),"BORRADO")</f>
        <v xml:space="preserve">s/ch. </v>
      </c>
      <c r="I589" s="40">
        <f>IFERROR(VLOOKUP(9806,Gastos[],9,FALSE),"BORRADO")</f>
        <v>0</v>
      </c>
    </row>
    <row r="590" spans="1:9">
      <c r="A590" s="38" t="s">
        <v>355</v>
      </c>
      <c r="B590" s="39">
        <f>IFERROR(VLOOKUP(9807,Gastos[],2,FALSE),"BORRADO")</f>
        <v>43021</v>
      </c>
      <c r="C590" s="40">
        <f>IFERROR(VLOOKUP(9807,Gastos[],3,FALSE),"BORRADO")</f>
        <v>310</v>
      </c>
      <c r="D590" s="41">
        <f>IFERROR(VLOOKUP(9807,Gastos[],4,FALSE),"BORRADO")</f>
        <v>-19911.04</v>
      </c>
      <c r="E590" s="42">
        <f>IFERROR(VLOOKUP(9807,Gastos[],5,FALSE),"BORRADO")</f>
        <v>43021</v>
      </c>
      <c r="F590" s="41">
        <f ca="1">IFERROR(VLOOKUP(9807,Gastos[],6,FALSE),"BORRADO")</f>
        <v>19360</v>
      </c>
      <c r="G590" s="40" t="str">
        <f>IFERROR(VLOOKUP(9807,Gastos[],7,FALSE),"BORRADO")</f>
        <v>Débito Tarjeta Crédito</v>
      </c>
      <c r="H590" s="40" t="str">
        <f>IFERROR(VLOOKUP(9807,Gastos[],8,FALSE),"BORRADO")</f>
        <v>Master Card Black</v>
      </c>
      <c r="I590" s="40">
        <f>IFERROR(VLOOKUP(9807,Gastos[],9,FALSE),"BORRADO")</f>
        <v>0</v>
      </c>
    </row>
    <row r="591" spans="1:9">
      <c r="A591" s="38" t="s">
        <v>355</v>
      </c>
      <c r="B591" s="39">
        <f>IFERROR(VLOOKUP(9808,Gastos[],2,FALSE),"BORRADO")</f>
        <v>43021</v>
      </c>
      <c r="C591" s="40">
        <f>IFERROR(VLOOKUP(9808,Gastos[],3,FALSE),"BORRADO")</f>
        <v>662</v>
      </c>
      <c r="D591" s="41">
        <f>IFERROR(VLOOKUP(9808,Gastos[],4,FALSE),"BORRADO")</f>
        <v>-119.47</v>
      </c>
      <c r="E591" s="42">
        <f>IFERROR(VLOOKUP(9808,Gastos[],5,FALSE),"BORRADO")</f>
        <v>43021</v>
      </c>
      <c r="F591" s="41">
        <f ca="1">IFERROR(VLOOKUP(9808,Gastos[],6,FALSE),"BORRADO")</f>
        <v>50</v>
      </c>
      <c r="G591" s="40" t="str">
        <f>IFERROR(VLOOKUP(9808,Gastos[],7,FALSE),"BORRADO")</f>
        <v>Impuesto al débito</v>
      </c>
      <c r="H591" s="40" t="str">
        <f>IFERROR(VLOOKUP(9808,Gastos[],8,FALSE),"BORRADO")</f>
        <v>Débito Tarjeta Crédito</v>
      </c>
      <c r="I591" s="40">
        <f>IFERROR(VLOOKUP(9808,Gastos[],9,FALSE),"BORRADO")</f>
        <v>0</v>
      </c>
    </row>
    <row r="592" spans="1:9">
      <c r="A592" s="38" t="s">
        <v>355</v>
      </c>
      <c r="B592" s="39">
        <f>IFERROR(VLOOKUP(9809,Gastos[],2,FALSE),"BORRADO")</f>
        <v>43021</v>
      </c>
      <c r="C592" s="40">
        <f>IFERROR(VLOOKUP(9809,Gastos[],3,FALSE),"BORRADO")</f>
        <v>612</v>
      </c>
      <c r="D592" s="41">
        <f>IFERROR(VLOOKUP(9809,Gastos[],4,FALSE),"BORRADO")</f>
        <v>-480</v>
      </c>
      <c r="E592" s="42">
        <f>IFERROR(VLOOKUP(9809,Gastos[],5,FALSE),"BORRADO")</f>
        <v>43021</v>
      </c>
      <c r="F592" s="41">
        <f ca="1">IFERROR(VLOOKUP(9809,Gastos[],6,FALSE),"BORRADO")</f>
        <v>364</v>
      </c>
      <c r="G592" s="40" t="str">
        <f>IFERROR(VLOOKUP(9809,Gastos[],7,FALSE),"BORRADO")</f>
        <v>Impuesto al crédito</v>
      </c>
      <c r="H592" s="40" t="str">
        <f>IFERROR(VLOOKUP(9809,Gastos[],8,FALSE),"BORRADO")</f>
        <v>s/dep.13/10/2017 68035568</v>
      </c>
      <c r="I592" s="40">
        <f>IFERROR(VLOOKUP(9809,Gastos[],9,FALSE),"BORRADO")</f>
        <v>0</v>
      </c>
    </row>
    <row r="593" spans="1:9">
      <c r="A593" s="38" t="s">
        <v>355</v>
      </c>
      <c r="B593" s="39">
        <f>IFERROR(VLOOKUP(9810,Gastos[],2,FALSE),"BORRADO")</f>
        <v>43021</v>
      </c>
      <c r="C593" s="40">
        <f>IFERROR(VLOOKUP(9810,Gastos[],3,FALSE),"BORRADO")</f>
        <v>612</v>
      </c>
      <c r="D593" s="41">
        <f>IFERROR(VLOOKUP(9810,Gastos[],4,FALSE),"BORRADO")</f>
        <v>-480</v>
      </c>
      <c r="E593" s="42">
        <f>IFERROR(VLOOKUP(9810,Gastos[],5,FALSE),"BORRADO")</f>
        <v>43021</v>
      </c>
      <c r="F593" s="41">
        <f ca="1">IFERROR(VLOOKUP(9810,Gastos[],6,FALSE),"BORRADO")</f>
        <v>200</v>
      </c>
      <c r="G593" s="40" t="str">
        <f>IFERROR(VLOOKUP(9810,Gastos[],7,FALSE),"BORRADO")</f>
        <v>Impuesto al crédito</v>
      </c>
      <c r="H593" s="40" t="str">
        <f>IFERROR(VLOOKUP(9810,Gastos[],8,FALSE),"BORRADO")</f>
        <v>s/dep.13/10/2017 68035569</v>
      </c>
      <c r="I593" s="40">
        <f>IFERROR(VLOOKUP(9810,Gastos[],9,FALSE),"BORRADO")</f>
        <v>0</v>
      </c>
    </row>
    <row r="594" spans="1:9">
      <c r="A594" s="38" t="s">
        <v>355</v>
      </c>
      <c r="B594" s="39">
        <f>IFERROR(VLOOKUP(9811,Gastos[],2,FALSE),"BORRADO")</f>
        <v>43021</v>
      </c>
      <c r="C594" s="40">
        <f>IFERROR(VLOOKUP(9811,Gastos[],3,FALSE),"BORRADO")</f>
        <v>612</v>
      </c>
      <c r="D594" s="41">
        <f>IFERROR(VLOOKUP(9811,Gastos[],4,FALSE),"BORRADO")</f>
        <v>-7.4</v>
      </c>
      <c r="E594" s="42">
        <f>IFERROR(VLOOKUP(9811,Gastos[],5,FALSE),"BORRADO")</f>
        <v>43021</v>
      </c>
      <c r="F594" s="41">
        <f ca="1">IFERROR(VLOOKUP(9811,Gastos[],6,FALSE),"BORRADO")</f>
        <v>0</v>
      </c>
      <c r="G594" s="40" t="str">
        <f>IFERROR(VLOOKUP(9811,Gastos[],7,FALSE),"BORRADO")</f>
        <v>Impuesto al crédito</v>
      </c>
      <c r="H594" s="40" t="str">
        <f>IFERROR(VLOOKUP(9811,Gastos[],8,FALSE),"BORRADO")</f>
        <v>s/dep.13/10/2017 13218034</v>
      </c>
      <c r="I594" s="40">
        <f>IFERROR(VLOOKUP(9811,Gastos[],9,FALSE),"BORRADO")</f>
        <v>0</v>
      </c>
    </row>
    <row r="595" spans="1:9">
      <c r="A595" s="38" t="s">
        <v>355</v>
      </c>
      <c r="B595" s="39">
        <f>IFERROR(VLOOKUP(9812,Gastos[],2,FALSE),"BORRADO")</f>
        <v>43021</v>
      </c>
      <c r="C595" s="40">
        <f>IFERROR(VLOOKUP(9812,Gastos[],3,FALSE),"BORRADO")</f>
        <v>612</v>
      </c>
      <c r="D595" s="41">
        <f>IFERROR(VLOOKUP(9812,Gastos[],4,FALSE),"BORRADO")</f>
        <v>-16.13</v>
      </c>
      <c r="E595" s="42">
        <f>IFERROR(VLOOKUP(9812,Gastos[],5,FALSE),"BORRADO")</f>
        <v>43021</v>
      </c>
      <c r="F595" s="41">
        <f ca="1">IFERROR(VLOOKUP(9812,Gastos[],6,FALSE),"BORRADO")</f>
        <v>2</v>
      </c>
      <c r="G595" s="40" t="str">
        <f>IFERROR(VLOOKUP(9812,Gastos[],7,FALSE),"BORRADO")</f>
        <v>Impuesto al crédito</v>
      </c>
      <c r="H595" s="40" t="str">
        <f>IFERROR(VLOOKUP(9812,Gastos[],8,FALSE),"BORRADO")</f>
        <v>s/dep.13/10/2017 13218033</v>
      </c>
      <c r="I595" s="40">
        <f>IFERROR(VLOOKUP(9812,Gastos[],9,FALSE),"BORRADO")</f>
        <v>0</v>
      </c>
    </row>
    <row r="596" spans="1:9">
      <c r="A596" s="38" t="s">
        <v>355</v>
      </c>
      <c r="B596" s="39">
        <f>IFERROR(VLOOKUP(9813,Gastos[],2,FALSE),"BORRADO")</f>
        <v>43021</v>
      </c>
      <c r="C596" s="40">
        <f>IFERROR(VLOOKUP(9813,Gastos[],3,FALSE),"BORRADO")</f>
        <v>612</v>
      </c>
      <c r="D596" s="41">
        <f>IFERROR(VLOOKUP(9813,Gastos[],4,FALSE),"BORRADO")</f>
        <v>-866.63</v>
      </c>
      <c r="E596" s="42">
        <f>IFERROR(VLOOKUP(9813,Gastos[],5,FALSE),"BORRADO")</f>
        <v>43021</v>
      </c>
      <c r="F596" s="41">
        <f ca="1">IFERROR(VLOOKUP(9813,Gastos[],6,FALSE),"BORRADO")</f>
        <v>632</v>
      </c>
      <c r="G596" s="40" t="str">
        <f>IFERROR(VLOOKUP(9813,Gastos[],7,FALSE),"BORRADO")</f>
        <v>Impuesto al crédito</v>
      </c>
      <c r="H596" s="40" t="str">
        <f>IFERROR(VLOOKUP(9813,Gastos[],8,FALSE),"BORRADO")</f>
        <v>s/dep.13/10/2017 69860843</v>
      </c>
      <c r="I596" s="40">
        <f>IFERROR(VLOOKUP(9813,Gastos[],9,FALSE),"BORRADO")</f>
        <v>0</v>
      </c>
    </row>
    <row r="597" spans="1:9">
      <c r="A597" s="38" t="s">
        <v>354</v>
      </c>
      <c r="B597" s="39">
        <f>IFERROR(VLOOKUP(3224,Depositos[],2,FALSE),"BORRADO")</f>
        <v>43021</v>
      </c>
      <c r="C597" s="40" t="str">
        <f>IFERROR(VLOOKUP(3224,Depositos[],3,FALSE),"BORRADO")</f>
        <v>RR CHEQUE</v>
      </c>
      <c r="D597" s="41">
        <f>IFERROR(VLOOKUP(3224,Depositos[],4,FALSE),"BORRADO")</f>
        <v>80000</v>
      </c>
      <c r="E597" s="42">
        <f>IFERROR(VLOOKUP(3224,Depositos[],5,FALSE),"BORRADO")</f>
        <v>43025</v>
      </c>
      <c r="F597" s="41">
        <f ca="1">IFERROR(VLOOKUP(3224,Depositos[],6,FALSE),"BORRADO")</f>
        <v>9965</v>
      </c>
      <c r="G597" s="40" t="str">
        <f>IFERROR(VLOOKUP(3224,Depositos[],7,FALSE),"BORRADO")</f>
        <v>MACRO 68035567</v>
      </c>
      <c r="H597" s="40" t="str">
        <f>IFERROR(VLOOKUP(3224,Depositos[],8,FALSE),"BORRADO")</f>
        <v>P</v>
      </c>
      <c r="I597" s="40">
        <f>IFERROR(VLOOKUP(3224,Depositos[],9,FALSE),"BORRADO")</f>
        <v>0</v>
      </c>
    </row>
    <row r="598" spans="1:9">
      <c r="A598" s="38" t="s">
        <v>354</v>
      </c>
      <c r="B598" s="39">
        <f>IFERROR(VLOOKUP(3225,Depositos[],2,FALSE),"BORRADO")</f>
        <v>43021</v>
      </c>
      <c r="C598" s="40" t="str">
        <f>IFERROR(VLOOKUP(3225,Depositos[],3,FALSE),"BORRADO")</f>
        <v>RR CHEQUE</v>
      </c>
      <c r="D598" s="41">
        <f>IFERROR(VLOOKUP(3225,Depositos[],4,FALSE),"BORRADO")</f>
        <v>80000</v>
      </c>
      <c r="E598" s="42">
        <f>IFERROR(VLOOKUP(3225,Depositos[],5,FALSE),"BORRADO")</f>
        <v>43025</v>
      </c>
      <c r="F598" s="41">
        <f ca="1">IFERROR(VLOOKUP(3225,Depositos[],6,FALSE),"BORRADO")</f>
        <v>1476</v>
      </c>
      <c r="G598" s="40" t="str">
        <f>IFERROR(VLOOKUP(3225,Depositos[],7,FALSE),"BORRADO")</f>
        <v>MACRO 68035566</v>
      </c>
      <c r="H598" s="40" t="str">
        <f>IFERROR(VLOOKUP(3225,Depositos[],8,FALSE),"BORRADO")</f>
        <v>P</v>
      </c>
      <c r="I598" s="40">
        <f>IFERROR(VLOOKUP(3225,Depositos[],9,FALSE),"BORRADO")</f>
        <v>0</v>
      </c>
    </row>
    <row r="599" spans="1:9">
      <c r="A599" s="38" t="s">
        <v>354</v>
      </c>
      <c r="B599" s="39">
        <f>IFERROR(VLOOKUP(3226,Depositos[],2,FALSE),"BORRADO")</f>
        <v>43021</v>
      </c>
      <c r="C599" s="40" t="str">
        <f>IFERROR(VLOOKUP(3226,Depositos[],3,FALSE),"BORRADO")</f>
        <v>RR CHEQUE</v>
      </c>
      <c r="D599" s="41">
        <f>IFERROR(VLOOKUP(3226,Depositos[],4,FALSE),"BORRADO")</f>
        <v>285000</v>
      </c>
      <c r="E599" s="42">
        <f>IFERROR(VLOOKUP(3226,Depositos[],5,FALSE),"BORRADO")</f>
        <v>43025</v>
      </c>
      <c r="F599" s="41">
        <f ca="1">IFERROR(VLOOKUP(3226,Depositos[],6,FALSE),"BORRADO")</f>
        <v>263626</v>
      </c>
      <c r="G599" s="40" t="str">
        <f>IFERROR(VLOOKUP(3226,Depositos[],7,FALSE),"BORRADO")</f>
        <v>MACRO 51681611</v>
      </c>
      <c r="H599" s="40" t="str">
        <f>IFERROR(VLOOKUP(3226,Depositos[],8,FALSE),"BORRADO")</f>
        <v>P</v>
      </c>
      <c r="I599" s="40">
        <f>IFERROR(VLOOKUP(3226,Depositos[],9,FALSE),"BORRADO")</f>
        <v>0</v>
      </c>
    </row>
    <row r="600" spans="1:9">
      <c r="A600" s="38" t="s">
        <v>353</v>
      </c>
      <c r="B600" s="39" t="str">
        <f>IFERROR(VLOOKUP(1532,Chequeras[],2,FALSE),"BORRADO")</f>
        <v>BORRADO</v>
      </c>
      <c r="C600" s="40" t="str">
        <f>IFERROR(VLOOKUP(1532,Chequeras[],3,FALSE),"BORRADO")</f>
        <v>BORRADO</v>
      </c>
      <c r="D600" s="41" t="str">
        <f>IFERROR(VLOOKUP(1532,Chequeras[],4,FALSE),"BORRADO")</f>
        <v>BORRADO</v>
      </c>
      <c r="E600" s="42" t="str">
        <f>IFERROR(VLOOKUP(1532,Chequeras[],5,FALSE),"BORRADO")</f>
        <v>BORRADO</v>
      </c>
      <c r="F600" s="41" t="str">
        <f>IFERROR(VLOOKUP(1532,Chequeras[],6,FALSE),"BORRADO")</f>
        <v>BORRADO</v>
      </c>
      <c r="G600" s="40" t="str">
        <f>IFERROR(VLOOKUP(1532,Chequeras[],7,FALSE),"BORRADO")</f>
        <v>BORRADO</v>
      </c>
      <c r="H600" s="40" t="str">
        <f>IFERROR(VLOOKUP(1532,Chequeras[],8,FALSE),"BORRADO")</f>
        <v>BORRADO</v>
      </c>
      <c r="I600" s="40" t="str">
        <f>IFERROR(VLOOKUP(1532,Chequeras[],9,FALSE),"BORRADO")</f>
        <v>BORRADO</v>
      </c>
    </row>
    <row r="601" spans="1:9">
      <c r="A601" s="38" t="s">
        <v>353</v>
      </c>
      <c r="B601" s="39" t="str">
        <f>IFERROR(VLOOKUP(1558,Chequeras[],2,FALSE),"BORRADO")</f>
        <v>BORRADO</v>
      </c>
      <c r="C601" s="40" t="str">
        <f>IFERROR(VLOOKUP(1558,Chequeras[],3,FALSE),"BORRADO")</f>
        <v>BORRADO</v>
      </c>
      <c r="D601" s="41" t="str">
        <f>IFERROR(VLOOKUP(1558,Chequeras[],4,FALSE),"BORRADO")</f>
        <v>BORRADO</v>
      </c>
      <c r="E601" s="42" t="str">
        <f>IFERROR(VLOOKUP(1558,Chequeras[],5,FALSE),"BORRADO")</f>
        <v>BORRADO</v>
      </c>
      <c r="F601" s="41" t="str">
        <f>IFERROR(VLOOKUP(1558,Chequeras[],6,FALSE),"BORRADO")</f>
        <v>BORRADO</v>
      </c>
      <c r="G601" s="40" t="str">
        <f>IFERROR(VLOOKUP(1558,Chequeras[],7,FALSE),"BORRADO")</f>
        <v>BORRADO</v>
      </c>
      <c r="H601" s="40" t="str">
        <f>IFERROR(VLOOKUP(1558,Chequeras[],8,FALSE),"BORRADO")</f>
        <v>BORRADO</v>
      </c>
      <c r="I601" s="40" t="str">
        <f>IFERROR(VLOOKUP(1558,Chequeras[],9,FALSE),"BORRADO")</f>
        <v>BORRADO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Chequeras</vt:lpstr>
      <vt:lpstr>Depositos</vt:lpstr>
      <vt:lpstr>Gastos</vt:lpstr>
      <vt:lpstr>Aglutinador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Aglutinador</dc:title>
  <dc:creator>Gerardo Tordoya</dc:creator>
  <cp:lastModifiedBy>Gerardo Tordoya</cp:lastModifiedBy>
  <dcterms:created xsi:type="dcterms:W3CDTF">2017-10-06T22:40:17Z</dcterms:created>
  <dcterms:modified xsi:type="dcterms:W3CDTF">2023-08-15T12:25:46Z</dcterms:modified>
</cp:coreProperties>
</file>